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i5\Desktop\"/>
    </mc:Choice>
  </mc:AlternateContent>
  <xr:revisionPtr revIDLastSave="0" documentId="8_{D3FF1671-D26B-44F5-B73D-9C923CB980A8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Base de Dados" sheetId="1" r:id="rId1"/>
    <sheet name="Resumo da Análise" sheetId="2" r:id="rId2"/>
    <sheet name="Metodologia" sheetId="3" r:id="rId3"/>
  </sheets>
  <definedNames>
    <definedName name="_xlnm._FilterDatabase" localSheetId="0" hidden="1">'Base de Dados'!$A$5:$K$45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0" i="2" l="1"/>
  <c r="C89" i="2"/>
  <c r="C88" i="2"/>
  <c r="C87" i="2"/>
  <c r="C86" i="2"/>
  <c r="C68" i="2"/>
  <c r="C69" i="2" s="1"/>
  <c r="C41" i="2"/>
  <c r="C40" i="2"/>
  <c r="C39" i="2"/>
  <c r="C38" i="2"/>
  <c r="C37" i="2"/>
  <c r="C36" i="2"/>
  <c r="C35" i="2"/>
  <c r="C34" i="2"/>
  <c r="C33" i="2"/>
  <c r="C32" i="2"/>
  <c r="C18" i="2"/>
  <c r="C17" i="2"/>
  <c r="C16" i="2"/>
  <c r="C10" i="2"/>
  <c r="C6" i="2"/>
  <c r="G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C59" i="2" s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D68" i="2" l="1"/>
  <c r="C54" i="2"/>
  <c r="C53" i="2"/>
  <c r="C57" i="2"/>
  <c r="C19" i="2"/>
  <c r="D18" i="2" s="1"/>
  <c r="C8" i="2"/>
  <c r="C58" i="2"/>
  <c r="C51" i="2"/>
  <c r="C55" i="2"/>
  <c r="C50" i="2"/>
  <c r="C56" i="2"/>
  <c r="B105" i="2"/>
  <c r="B101" i="2"/>
  <c r="B104" i="2"/>
  <c r="D69" i="2"/>
  <c r="C70" i="2"/>
  <c r="C52" i="2"/>
  <c r="C9" i="2"/>
  <c r="C7" i="2"/>
  <c r="C11" i="2"/>
  <c r="C91" i="2"/>
  <c r="D87" i="2" s="1"/>
  <c r="F46" i="1"/>
  <c r="C42" i="2"/>
  <c r="D17" i="2" l="1"/>
  <c r="B102" i="2"/>
  <c r="D16" i="2"/>
  <c r="D19" i="2" s="1"/>
  <c r="D90" i="2"/>
  <c r="D89" i="2"/>
  <c r="D88" i="2"/>
  <c r="D40" i="2"/>
  <c r="D38" i="2"/>
  <c r="D36" i="2"/>
  <c r="D34" i="2"/>
  <c r="D32" i="2"/>
  <c r="D41" i="2"/>
  <c r="D39" i="2"/>
  <c r="D37" i="2"/>
  <c r="D35" i="2"/>
  <c r="D33" i="2"/>
  <c r="D59" i="2"/>
  <c r="D57" i="2"/>
  <c r="D55" i="2"/>
  <c r="D53" i="2"/>
  <c r="D51" i="2"/>
  <c r="D58" i="2"/>
  <c r="D56" i="2"/>
  <c r="D54" i="2"/>
  <c r="D52" i="2"/>
  <c r="D50" i="2"/>
  <c r="C71" i="2"/>
  <c r="D70" i="2"/>
  <c r="D86" i="2"/>
  <c r="D91" i="2" l="1"/>
  <c r="D71" i="2"/>
  <c r="C72" i="2"/>
  <c r="D72" i="2" s="1"/>
  <c r="D42" i="2"/>
  <c r="B103" i="2" l="1"/>
  <c r="D73" i="2"/>
</calcChain>
</file>

<file path=xl/sharedStrings.xml><?xml version="1.0" encoding="utf-8"?>
<sst xmlns="http://schemas.openxmlformats.org/spreadsheetml/2006/main" count="311" uniqueCount="107">
  <si>
    <t>Dados fictícios (simulação educacional). Os nomes das ruas são reais, mas as ocorrências são simuladas.</t>
  </si>
  <si>
    <t>Período de referência: 01/09/2026 a 30/09/2026. Frequência relatada = número de interrupções informadas para a rua nos últimos 30 dias.</t>
  </si>
  <si>
    <t>ID do Registro</t>
  </si>
  <si>
    <t>Data da Ocorrência</t>
  </si>
  <si>
    <t>Rua ou Logradouro</t>
  </si>
  <si>
    <t>Horário de Início</t>
  </si>
  <si>
    <t>Horário de Retorno (data e hora)</t>
  </si>
  <si>
    <t>Duração da Interrupção (horas)</t>
  </si>
  <si>
    <t>Frequência Relatada (30 dias)</t>
  </si>
  <si>
    <t>Nível de Impacto</t>
  </si>
  <si>
    <t>Problemas Relatados</t>
  </si>
  <si>
    <t>Fonte do Registro</t>
  </si>
  <si>
    <t>Categoria do Problema</t>
  </si>
  <si>
    <t>Rua Santa Júlia</t>
  </si>
  <si>
    <t>Médio</t>
  </si>
  <si>
    <t>Água saindo fraca, demora para encher o balde</t>
  </si>
  <si>
    <t>Simulação educacional</t>
  </si>
  <si>
    <t>Pressão baixa</t>
  </si>
  <si>
    <t>Rua Almirante Tamandaré</t>
  </si>
  <si>
    <t>Uso de água mineral para cozinhar</t>
  </si>
  <si>
    <t>Preparo de alimentos</t>
  </si>
  <si>
    <t>Rua do Ribeirão</t>
  </si>
  <si>
    <t>Higiene de crianças e idosos prejudicada</t>
  </si>
  <si>
    <t>Higiene pessoal</t>
  </si>
  <si>
    <t>Rua Boa Esperança</t>
  </si>
  <si>
    <t>Reservatório secou antes da água voltar</t>
  </si>
  <si>
    <t>Armazenamento</t>
  </si>
  <si>
    <t>Rua Daniel de La Touche</t>
  </si>
  <si>
    <t>Baixo</t>
  </si>
  <si>
    <t>Alto</t>
  </si>
  <si>
    <t>Rua Gustavo Barroso</t>
  </si>
  <si>
    <t>Impossibilidade de manter a higiene pessoal e da casa</t>
  </si>
  <si>
    <t>Roupa acumulada sem poder lavar</t>
  </si>
  <si>
    <t>Atividades domésticas</t>
  </si>
  <si>
    <t>Banhos adiados ou reduzidos</t>
  </si>
  <si>
    <t>Rua dos Eucaliptos</t>
  </si>
  <si>
    <t>Caixa d'água esvaziada, rotina familiar interrompida</t>
  </si>
  <si>
    <t>Precisou pegar água com vizinho</t>
  </si>
  <si>
    <t>Rua Primeiro de Maio</t>
  </si>
  <si>
    <t>Refeições atrasadas por falta de água</t>
  </si>
  <si>
    <t>Redução da pressão nas torneiras</t>
  </si>
  <si>
    <t>Dificuldade para preparar alimentos</t>
  </si>
  <si>
    <t>Rua do Progresso</t>
  </si>
  <si>
    <t>Dificuldade para lavar roupas e limpar a casa</t>
  </si>
  <si>
    <t>Avenida Sarney Filho</t>
  </si>
  <si>
    <t>Atraso em tarefas domésticas como lavar louça</t>
  </si>
  <si>
    <t>Pressão muito baixa no chuveiro</t>
  </si>
  <si>
    <t>Média / Total</t>
  </si>
  <si>
    <t>Resumo da Análise: Falta de água na Vila Palmeira</t>
  </si>
  <si>
    <t>São Luís - MA  |  Setembro de 2026  |  Dados fictícios (simulação educacional)</t>
  </si>
  <si>
    <t>Indicadores gerais</t>
  </si>
  <si>
    <t>Indicador</t>
  </si>
  <si>
    <t>Valor</t>
  </si>
  <si>
    <t>Total de registros</t>
  </si>
  <si>
    <t>Duração média (h)</t>
  </si>
  <si>
    <t>Maior duração (h)</t>
  </si>
  <si>
    <t>Menor duração (h)</t>
  </si>
  <si>
    <t>Registros de impacto Alto</t>
  </si>
  <si>
    <t>Interrupções de 12 h ou mais</t>
  </si>
  <si>
    <t>1. Registros por nível de impacto</t>
  </si>
  <si>
    <t>Nível de impacto</t>
  </si>
  <si>
    <t>Registros</t>
  </si>
  <si>
    <t>% do total</t>
  </si>
  <si>
    <t>Total</t>
  </si>
  <si>
    <t>2. Registros por rua</t>
  </si>
  <si>
    <t>Rua</t>
  </si>
  <si>
    <t>3. Duração média das interrupções por rua (horas)</t>
  </si>
  <si>
    <t>Média geral (h)</t>
  </si>
  <si>
    <t>4. Ocorrências por semana</t>
  </si>
  <si>
    <t>Semana</t>
  </si>
  <si>
    <t>Início da semana</t>
  </si>
  <si>
    <t>Ocorrências</t>
  </si>
  <si>
    <t>Semana 1</t>
  </si>
  <si>
    <t>Semana 2</t>
  </si>
  <si>
    <t>Semana 3</t>
  </si>
  <si>
    <t>Semana 4</t>
  </si>
  <si>
    <t>Semana 5</t>
  </si>
  <si>
    <t>5. Categorias de problemas relatados</t>
  </si>
  <si>
    <t>Categoria</t>
  </si>
  <si>
    <t>Principais resultados</t>
  </si>
  <si>
    <t>Os dados são simulados e servem apenas para praticar o tratamento de dados; não representam a situação real do bairro.</t>
  </si>
  <si>
    <t>Metodologia</t>
  </si>
  <si>
    <t>Objetivo</t>
  </si>
  <si>
    <t>Praticar o tratamento e a análise de dados usando como tema a falta de água no bairro Vila Palmeira, em São Luís (MA).</t>
  </si>
  <si>
    <t>Origem dos dados</t>
  </si>
  <si>
    <t>Simulação educacional. Nenhuma ocorrência corresponde a um registro real.</t>
  </si>
  <si>
    <t>Período</t>
  </si>
  <si>
    <t>01/09/2026 a 30/09/2026, dividido em 5 semanas na aba Resumo da Análise.</t>
  </si>
  <si>
    <t>Ruas</t>
  </si>
  <si>
    <t>Os nomes das ruas são reais (conferidos em sites de CEP), mas a distribuição das ocorrências entre elas é inventada.</t>
  </si>
  <si>
    <t>Unidade de análise</t>
  </si>
  <si>
    <t>Cada linha da Base de Dados é uma interrupção no fornecimento de água.</t>
  </si>
  <si>
    <t>Duração</t>
  </si>
  <si>
    <t>Duração (h) = (data e hora de retorno - data - horário de início) x 24, arredondada em 2 casas.</t>
  </si>
  <si>
    <t>Baixo, Médio ou Alto, escolhido pela lista suspensa. Considerou-se principalmente a duração e a frequência relatada.</t>
  </si>
  <si>
    <t>Categorias</t>
  </si>
  <si>
    <t>Os problemas relatados foram agrupados em 5 categorias: Higiene pessoal, Armazenamento, Atividades domésticas, Preparo de alimentos e Pressão baixa.</t>
  </si>
  <si>
    <t>Formatação</t>
  </si>
  <si>
    <t>Cabeçalho congelado, filtros na tabela, cores para o nível de impacto e bloqueio de frequência negativa.</t>
  </si>
  <si>
    <t>Resumo</t>
  </si>
  <si>
    <t>As tabelas e gráficos da aba Resumo da Análise usam fórmulas (COUNTIF, AVERAGEIF, COUNTIFS, SUM, AVERAGE, MAX e MIN) e se atualizam se a Base de Dados for alterada.</t>
  </si>
  <si>
    <t>Privacidade</t>
  </si>
  <si>
    <t>Não há nomes de moradores, números de casas ou outros dados pessoais.</t>
  </si>
  <si>
    <t>Limitações</t>
  </si>
  <si>
    <t>Como os dados são simulados, os resultados não mostram quais ruas realmente sofrem mais com a falta de água.</t>
  </si>
  <si>
    <t>Nome: Antônio José Lobato Nogueira  Trilha: Ciência De Dados</t>
  </si>
  <si>
    <t>Desafio 01: Tabela de análise da falta de água no bairro da Vila Palmeira (São Luís - 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</si>
</sst>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22"/>
      <color rgb="FFFFFFFF"/>
      <name val="Calibri"/>
      <family val="2"/>
    </font>
    <font>
      <sz val="11"/>
      <color rgb="FF1F3B57"/>
      <name val="Calibri"/>
      <family val="2"/>
    </font>
    <font>
      <b/>
      <sz val="12"/>
      <color rgb="FFFFFFFF"/>
      <name val="Calibri"/>
      <family val="2"/>
    </font>
    <font>
      <b/>
      <sz val="13"/>
      <color rgb="FF1F4E79"/>
      <name val="Calibri"/>
      <family val="2"/>
    </font>
    <font>
      <b/>
      <sz val="20"/>
      <color rgb="FFFFFFFF"/>
      <name val="Calibri"/>
      <family val="2"/>
    </font>
    <font>
      <b/>
      <sz val="13"/>
      <color rgb="FF16406B"/>
      <name val="Calibri"/>
      <family val="2"/>
    </font>
    <font>
      <b/>
      <sz val="14"/>
      <color rgb="FF1F3B57"/>
      <name val="Calibri"/>
      <family val="2"/>
    </font>
    <font>
      <i/>
      <sz val="12"/>
      <color rgb="FF595959"/>
      <name val="Calibri"/>
      <family val="2"/>
    </font>
    <font>
      <i/>
      <sz val="10"/>
      <color rgb="FF595959"/>
      <name val="Calibri"/>
      <family val="2"/>
    </font>
    <font>
      <sz val="11"/>
      <color rgb="FF1F3B57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16406B"/>
        <bgColor indexed="64"/>
      </patternFill>
    </fill>
    <fill>
      <patternFill patternType="solid">
        <fgColor rgb="FFE3F0FA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2E9CCA"/>
        <bgColor indexed="64"/>
      </patternFill>
    </fill>
  </fills>
  <borders count="2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FE3"/>
      </left>
      <right style="thin">
        <color rgb="FFB7CFE3"/>
      </right>
      <top style="thin">
        <color rgb="FFB7CFE3"/>
      </top>
      <bottom style="thin">
        <color rgb="FFB7CFE3"/>
      </bottom>
      <diagonal/>
    </border>
    <border>
      <left/>
      <right/>
      <top/>
      <bottom style="medium">
        <color rgb="FF2E9CC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2E9CCA"/>
      </bottom>
      <diagonal/>
    </border>
    <border>
      <left/>
      <right style="thin">
        <color indexed="64"/>
      </right>
      <top/>
      <bottom style="medium">
        <color rgb="FF2E9CCA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medium">
        <color rgb="FF2E9CCA"/>
      </top>
      <bottom style="thin">
        <color indexed="64"/>
      </bottom>
      <diagonal/>
    </border>
    <border>
      <left/>
      <right/>
      <top style="medium">
        <color rgb="FF2E9CCA"/>
      </top>
      <bottom style="thin">
        <color indexed="64"/>
      </bottom>
      <diagonal/>
    </border>
    <border>
      <left/>
      <right style="thin">
        <color indexed="64"/>
      </right>
      <top style="medium">
        <color rgb="FF2E9CCA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7" borderId="2" xfId="0" applyFont="1" applyFill="1" applyBorder="1" applyAlignment="1">
      <alignment horizontal="left" vertical="center" wrapText="1" indent="1"/>
    </xf>
    <xf numFmtId="0" fontId="2" fillId="8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 indent="1"/>
    </xf>
    <xf numFmtId="0" fontId="5" fillId="6" borderId="9" xfId="0" applyFont="1" applyFill="1" applyBorder="1" applyAlignment="1">
      <alignment horizontal="left" vertical="center" indent="1"/>
    </xf>
    <xf numFmtId="0" fontId="10" fillId="6" borderId="10" xfId="0" applyFont="1" applyFill="1" applyBorder="1" applyAlignment="1">
      <alignment horizontal="left" vertical="center" indent="1"/>
    </xf>
    <xf numFmtId="0" fontId="5" fillId="6" borderId="11" xfId="0" applyFont="1" applyFill="1" applyBorder="1" applyAlignment="1">
      <alignment horizontal="left" vertical="center" inden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right" vertical="center" indent="1"/>
    </xf>
    <xf numFmtId="0" fontId="7" fillId="4" borderId="15" xfId="0" applyFont="1" applyFill="1" applyBorder="1" applyAlignment="1">
      <alignment horizontal="center" vertical="center"/>
    </xf>
    <xf numFmtId="2" fontId="7" fillId="4" borderId="14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left" vertical="center" wrapText="1"/>
    </xf>
    <xf numFmtId="1" fontId="3" fillId="4" borderId="22" xfId="0" applyNumberFormat="1" applyFont="1" applyFill="1" applyBorder="1" applyAlignment="1">
      <alignment horizontal="center" vertical="center" wrapText="1"/>
    </xf>
    <xf numFmtId="164" fontId="3" fillId="4" borderId="20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1" fontId="3" fillId="4" borderId="20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left" vertical="center"/>
    </xf>
    <xf numFmtId="0" fontId="13" fillId="6" borderId="0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Registros por nível de impacto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da Análise'!$C$15</c:f>
              <c:strCache>
                <c:ptCount val="1"/>
                <c:pt idx="0">
                  <c:v>Registros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da Análise'!$B$16:$B$18</c:f>
              <c:strCache>
                <c:ptCount val="3"/>
                <c:pt idx="0">
                  <c:v>Baixo</c:v>
                </c:pt>
                <c:pt idx="1">
                  <c:v>Médio</c:v>
                </c:pt>
                <c:pt idx="2">
                  <c:v>Alto</c:v>
                </c:pt>
              </c:strCache>
            </c:strRef>
          </c:cat>
          <c:val>
            <c:numRef>
              <c:f>'Resumo da Análise'!$C$16:$C$18</c:f>
              <c:numCache>
                <c:formatCode>0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C-4B78-ADC2-8C74B86D5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545413"/>
        <c:axId val="97914287"/>
      </c:barChart>
      <c:catAx>
        <c:axId val="85454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Nível de impacto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97914287"/>
        <c:crosses val="autoZero"/>
        <c:auto val="1"/>
        <c:lblAlgn val="ctr"/>
        <c:lblOffset val="100"/>
        <c:noMultiLvlLbl val="0"/>
      </c:catAx>
      <c:valAx>
        <c:axId val="9791428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Nº de registros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5454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Registros por rua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da Análise'!$C$31</c:f>
              <c:strCache>
                <c:ptCount val="1"/>
                <c:pt idx="0">
                  <c:v>Registros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da Análise'!$B$32:$B$41</c:f>
              <c:strCache>
                <c:ptCount val="10"/>
                <c:pt idx="0">
                  <c:v>Rua do Ribeirão</c:v>
                </c:pt>
                <c:pt idx="1">
                  <c:v>Rua Primeiro de Maio</c:v>
                </c:pt>
                <c:pt idx="2">
                  <c:v>Rua Santa Júlia</c:v>
                </c:pt>
                <c:pt idx="3">
                  <c:v>Rua dos Eucaliptos</c:v>
                </c:pt>
                <c:pt idx="4">
                  <c:v>Avenida Sarney Filho</c:v>
                </c:pt>
                <c:pt idx="5">
                  <c:v>Rua Almirante Tamandaré</c:v>
                </c:pt>
                <c:pt idx="6">
                  <c:v>Rua Gustavo Barroso</c:v>
                </c:pt>
                <c:pt idx="7">
                  <c:v>Rua Boa Esperança</c:v>
                </c:pt>
                <c:pt idx="8">
                  <c:v>Rua Daniel de La Touche</c:v>
                </c:pt>
                <c:pt idx="9">
                  <c:v>Rua do Progresso</c:v>
                </c:pt>
              </c:strCache>
            </c:strRef>
          </c:cat>
          <c:val>
            <c:numRef>
              <c:f>'Resumo da Análise'!$C$32:$C$41</c:f>
              <c:numCache>
                <c:formatCode>0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7-4D9C-BB23-5F6F337C2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7433136"/>
        <c:axId val="17406270"/>
      </c:barChart>
      <c:catAx>
        <c:axId val="87433136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100" b="1" strike="noStrike" spc="-1">
                    <a:solidFill>
                      <a:srgbClr val="000000"/>
                    </a:solidFill>
                    <a:latin typeface="Calibri"/>
                  </a:rPr>
                  <a:t>Rua</a:t>
                </a:r>
              </a:p>
            </c:rich>
          </c:tx>
          <c:layout>
            <c:manualLayout>
              <c:xMode val="edge"/>
              <c:yMode val="edge"/>
              <c:x val="1.0920109510641518E-2"/>
              <c:y val="0.44495839395622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406270"/>
        <c:crosses val="autoZero"/>
        <c:auto val="1"/>
        <c:lblAlgn val="ctr"/>
        <c:lblOffset val="100"/>
        <c:noMultiLvlLbl val="0"/>
      </c:catAx>
      <c:valAx>
        <c:axId val="17406270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Nº de registros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43313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Duração média das interrupções por rua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da Análise'!$C$49</c:f>
              <c:strCache>
                <c:ptCount val="1"/>
                <c:pt idx="0">
                  <c:v>Duração média (h)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da Análise'!$B$50:$B$59</c:f>
              <c:strCache>
                <c:ptCount val="10"/>
                <c:pt idx="0">
                  <c:v>Rua do Ribeirão</c:v>
                </c:pt>
                <c:pt idx="1">
                  <c:v>Rua Primeiro de Maio</c:v>
                </c:pt>
                <c:pt idx="2">
                  <c:v>Rua Santa Júlia</c:v>
                </c:pt>
                <c:pt idx="3">
                  <c:v>Rua dos Eucaliptos</c:v>
                </c:pt>
                <c:pt idx="4">
                  <c:v>Avenida Sarney Filho</c:v>
                </c:pt>
                <c:pt idx="5">
                  <c:v>Rua Almirante Tamandaré</c:v>
                </c:pt>
                <c:pt idx="6">
                  <c:v>Rua Gustavo Barroso</c:v>
                </c:pt>
                <c:pt idx="7">
                  <c:v>Rua Boa Esperança</c:v>
                </c:pt>
                <c:pt idx="8">
                  <c:v>Rua Daniel de La Touche</c:v>
                </c:pt>
                <c:pt idx="9">
                  <c:v>Rua do Progresso</c:v>
                </c:pt>
              </c:strCache>
            </c:strRef>
          </c:cat>
          <c:val>
            <c:numRef>
              <c:f>'Resumo da Análise'!$C$50:$C$59</c:f>
              <c:numCache>
                <c:formatCode>0.00</c:formatCode>
                <c:ptCount val="10"/>
                <c:pt idx="0">
                  <c:v>4.1133333333333333</c:v>
                </c:pt>
                <c:pt idx="1">
                  <c:v>5.0649999999999995</c:v>
                </c:pt>
                <c:pt idx="2">
                  <c:v>10.821428571428571</c:v>
                </c:pt>
                <c:pt idx="3">
                  <c:v>9.8339999999999996</c:v>
                </c:pt>
                <c:pt idx="4">
                  <c:v>2.585</c:v>
                </c:pt>
                <c:pt idx="5">
                  <c:v>10.534000000000001</c:v>
                </c:pt>
                <c:pt idx="6">
                  <c:v>6.746666666666667</c:v>
                </c:pt>
                <c:pt idx="7">
                  <c:v>7.5</c:v>
                </c:pt>
                <c:pt idx="8">
                  <c:v>10.6675</c:v>
                </c:pt>
                <c:pt idx="9">
                  <c:v>4.9733333333333336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19F-9182-C857A4B13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742729"/>
        <c:axId val="66881333"/>
      </c:barChart>
      <c:lineChart>
        <c:grouping val="standard"/>
        <c:varyColors val="0"/>
        <c:ser>
          <c:idx val="1"/>
          <c:order val="1"/>
          <c:tx>
            <c:strRef>
              <c:f>'Resumo da Análise'!$D$49</c:f>
              <c:strCache>
                <c:ptCount val="1"/>
                <c:pt idx="0">
                  <c:v>Média geral (h)</c:v>
                </c:pt>
              </c:strCache>
            </c:strRef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da Análise'!$B$50:$B$59</c:f>
              <c:strCache>
                <c:ptCount val="10"/>
                <c:pt idx="0">
                  <c:v>Rua do Ribeirão</c:v>
                </c:pt>
                <c:pt idx="1">
                  <c:v>Rua Primeiro de Maio</c:v>
                </c:pt>
                <c:pt idx="2">
                  <c:v>Rua Santa Júlia</c:v>
                </c:pt>
                <c:pt idx="3">
                  <c:v>Rua dos Eucaliptos</c:v>
                </c:pt>
                <c:pt idx="4">
                  <c:v>Avenida Sarney Filho</c:v>
                </c:pt>
                <c:pt idx="5">
                  <c:v>Rua Almirante Tamandaré</c:v>
                </c:pt>
                <c:pt idx="6">
                  <c:v>Rua Gustavo Barroso</c:v>
                </c:pt>
                <c:pt idx="7">
                  <c:v>Rua Boa Esperança</c:v>
                </c:pt>
                <c:pt idx="8">
                  <c:v>Rua Daniel de La Touche</c:v>
                </c:pt>
                <c:pt idx="9">
                  <c:v>Rua do Progresso</c:v>
                </c:pt>
              </c:strCache>
            </c:strRef>
          </c:cat>
          <c:val>
            <c:numRef>
              <c:f>'Resumo da Análise'!$D$50:$D$59</c:f>
              <c:numCache>
                <c:formatCode>0.00</c:formatCode>
                <c:ptCount val="10"/>
                <c:pt idx="0">
                  <c:v>8.0797500000000007</c:v>
                </c:pt>
                <c:pt idx="1">
                  <c:v>8.0797500000000007</c:v>
                </c:pt>
                <c:pt idx="2">
                  <c:v>8.0797500000000007</c:v>
                </c:pt>
                <c:pt idx="3">
                  <c:v>8.0797500000000007</c:v>
                </c:pt>
                <c:pt idx="4">
                  <c:v>8.0797500000000007</c:v>
                </c:pt>
                <c:pt idx="5">
                  <c:v>8.0797500000000007</c:v>
                </c:pt>
                <c:pt idx="6">
                  <c:v>8.0797500000000007</c:v>
                </c:pt>
                <c:pt idx="7">
                  <c:v>8.0797500000000007</c:v>
                </c:pt>
                <c:pt idx="8">
                  <c:v>8.0797500000000007</c:v>
                </c:pt>
                <c:pt idx="9">
                  <c:v>8.0797500000000007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6-419F-9182-C857A4B13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742729"/>
        <c:axId val="66881333"/>
      </c:lineChart>
      <c:catAx>
        <c:axId val="67427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Rua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6881333"/>
        <c:crosses val="autoZero"/>
        <c:auto val="1"/>
        <c:lblAlgn val="ctr"/>
        <c:lblOffset val="100"/>
        <c:noMultiLvlLbl val="0"/>
      </c:catAx>
      <c:valAx>
        <c:axId val="6688133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Duração média (horas)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7427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Ocorrências por semana (setembro/2026)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'Resumo da Análise'!$D$67</c:f>
              <c:strCache>
                <c:ptCount val="1"/>
                <c:pt idx="0">
                  <c:v>Ocorrências</c:v>
                </c:pt>
              </c:strCache>
            </c:strRef>
          </c:tx>
          <c:spPr>
            <a:ln w="280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da Análise'!$B$68:$B$72</c:f>
              <c:strCache>
                <c:ptCount val="5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</c:strCache>
            </c:strRef>
          </c:cat>
          <c:val>
            <c:numRef>
              <c:f>'Resumo da Análise'!$D$68:$D$72</c:f>
              <c:numCache>
                <c:formatCode>0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C-40B7-971A-FEB08708D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102487"/>
        <c:axId val="54925194"/>
      </c:lineChart>
      <c:catAx>
        <c:axId val="541024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4925194"/>
        <c:crosses val="autoZero"/>
        <c:auto val="1"/>
        <c:lblAlgn val="ctr"/>
        <c:lblOffset val="100"/>
        <c:noMultiLvlLbl val="0"/>
      </c:catAx>
      <c:valAx>
        <c:axId val="5492519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Nº de ocorrências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41024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Categorias de problemas relatados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da Análise'!$C$85</c:f>
              <c:strCache>
                <c:ptCount val="1"/>
                <c:pt idx="0">
                  <c:v>Registros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da Análise'!$B$86:$B$90</c:f>
              <c:strCache>
                <c:ptCount val="5"/>
                <c:pt idx="0">
                  <c:v>Higiene pessoal</c:v>
                </c:pt>
                <c:pt idx="1">
                  <c:v>Armazenamento</c:v>
                </c:pt>
                <c:pt idx="2">
                  <c:v>Atividades domésticas</c:v>
                </c:pt>
                <c:pt idx="3">
                  <c:v>Preparo de alimentos</c:v>
                </c:pt>
                <c:pt idx="4">
                  <c:v>Pressão baixa</c:v>
                </c:pt>
              </c:strCache>
            </c:strRef>
          </c:cat>
          <c:val>
            <c:numRef>
              <c:f>'Resumo da Análise'!$C$86:$C$90</c:f>
              <c:numCache>
                <c:formatCode>0</c:formatCode>
                <c:ptCount val="5"/>
                <c:pt idx="0">
                  <c:v>7</c:v>
                </c:pt>
                <c:pt idx="1">
                  <c:v>6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F-4EC4-8310-0A6402383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7622710"/>
        <c:axId val="81960839"/>
      </c:barChart>
      <c:catAx>
        <c:axId val="87622710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Categoria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1960839"/>
        <c:crosses val="autoZero"/>
        <c:auto val="1"/>
        <c:lblAlgn val="ctr"/>
        <c:lblOffset val="100"/>
        <c:noMultiLvlLbl val="0"/>
      </c:catAx>
      <c:valAx>
        <c:axId val="81960839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Nº de registros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62271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7</xdr:row>
      <xdr:rowOff>149730</xdr:rowOff>
    </xdr:from>
    <xdr:to>
      <xdr:col>12</xdr:col>
      <xdr:colOff>599190</xdr:colOff>
      <xdr:row>23</xdr:row>
      <xdr:rowOff>161610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131040</xdr:rowOff>
    </xdr:from>
    <xdr:to>
      <xdr:col>13</xdr:col>
      <xdr:colOff>480960</xdr:colOff>
      <xdr:row>44</xdr:row>
      <xdr:rowOff>132120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45</xdr:row>
      <xdr:rowOff>131040</xdr:rowOff>
    </xdr:from>
    <xdr:to>
      <xdr:col>13</xdr:col>
      <xdr:colOff>480960</xdr:colOff>
      <xdr:row>63</xdr:row>
      <xdr:rowOff>121680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104775</xdr:colOff>
      <xdr:row>64</xdr:row>
      <xdr:rowOff>45315</xdr:rowOff>
    </xdr:from>
    <xdr:to>
      <xdr:col>12</xdr:col>
      <xdr:colOff>570615</xdr:colOff>
      <xdr:row>80</xdr:row>
      <xdr:rowOff>56835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81</xdr:row>
      <xdr:rowOff>131040</xdr:rowOff>
    </xdr:from>
    <xdr:to>
      <xdr:col>13</xdr:col>
      <xdr:colOff>480960</xdr:colOff>
      <xdr:row>97</xdr:row>
      <xdr:rowOff>142560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6"/>
  <sheetViews>
    <sheetView showGridLines="0" zoomScaleNormal="100" workbookViewId="0">
      <selection activeCell="P5" sqref="P5"/>
    </sheetView>
  </sheetViews>
  <sheetFormatPr defaultColWidth="8.7109375" defaultRowHeight="15" x14ac:dyDescent="0.25"/>
  <cols>
    <col min="1" max="1" width="10" customWidth="1"/>
    <col min="2" max="2" width="14" customWidth="1"/>
    <col min="3" max="3" width="26" customWidth="1"/>
    <col min="4" max="4" width="11" customWidth="1"/>
    <col min="5" max="5" width="19" customWidth="1"/>
    <col min="6" max="7" width="14" customWidth="1"/>
    <col min="8" max="8" width="12" customWidth="1"/>
    <col min="9" max="9" width="50" customWidth="1"/>
    <col min="10" max="11" width="22" customWidth="1"/>
  </cols>
  <sheetData>
    <row r="1" spans="1:11" ht="39.950000000000003" customHeight="1" x14ac:dyDescent="0.25">
      <c r="A1" s="21" t="s">
        <v>106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21.95" customHeight="1" x14ac:dyDescent="0.25">
      <c r="A2" s="67" t="s">
        <v>0</v>
      </c>
      <c r="B2" s="68"/>
      <c r="C2" s="68"/>
      <c r="D2" s="68"/>
      <c r="E2" s="68"/>
      <c r="F2" s="68"/>
      <c r="G2" s="68"/>
      <c r="H2" s="24"/>
      <c r="I2" s="24"/>
      <c r="J2" s="24"/>
      <c r="K2" s="25"/>
    </row>
    <row r="3" spans="1:11" ht="21.95" customHeight="1" x14ac:dyDescent="0.25">
      <c r="A3" s="69" t="s">
        <v>1</v>
      </c>
      <c r="B3" s="70"/>
      <c r="C3" s="70"/>
      <c r="D3" s="70"/>
      <c r="E3" s="70"/>
      <c r="F3" s="70"/>
      <c r="G3" s="70"/>
      <c r="H3" s="70"/>
      <c r="I3" s="70"/>
      <c r="J3" s="24"/>
      <c r="K3" s="25"/>
    </row>
    <row r="4" spans="1:11" ht="21.95" customHeight="1" thickBot="1" x14ac:dyDescent="0.3">
      <c r="A4" s="26" t="s">
        <v>105</v>
      </c>
      <c r="B4" s="15"/>
      <c r="C4" s="15"/>
      <c r="D4" s="15"/>
      <c r="E4" s="15"/>
      <c r="F4" s="15"/>
      <c r="G4" s="15"/>
      <c r="H4" s="15"/>
      <c r="I4" s="15"/>
      <c r="J4" s="15"/>
      <c r="K4" s="27"/>
    </row>
    <row r="5" spans="1:11" ht="45" customHeight="1" x14ac:dyDescent="0.25">
      <c r="A5" s="28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29" t="s">
        <v>12</v>
      </c>
    </row>
    <row r="6" spans="1:11" x14ac:dyDescent="0.25">
      <c r="A6" s="30">
        <v>1</v>
      </c>
      <c r="B6" s="3">
        <v>46266</v>
      </c>
      <c r="C6" s="4" t="s">
        <v>13</v>
      </c>
      <c r="D6" s="5">
        <v>6.9444444444444503E-2</v>
      </c>
      <c r="E6" s="6">
        <v>46266.368055555598</v>
      </c>
      <c r="F6" s="7">
        <f t="shared" ref="F6:F45" si="0">ROUND((E6-B6-D6)*24,2)</f>
        <v>7.17</v>
      </c>
      <c r="G6" s="2">
        <v>7</v>
      </c>
      <c r="H6" s="2" t="s">
        <v>14</v>
      </c>
      <c r="I6" s="4" t="s">
        <v>15</v>
      </c>
      <c r="J6" s="2" t="s">
        <v>16</v>
      </c>
      <c r="K6" s="31" t="s">
        <v>17</v>
      </c>
    </row>
    <row r="7" spans="1:11" x14ac:dyDescent="0.25">
      <c r="A7" s="32">
        <v>2</v>
      </c>
      <c r="B7" s="9">
        <v>46268</v>
      </c>
      <c r="C7" s="10" t="s">
        <v>18</v>
      </c>
      <c r="D7" s="11">
        <v>0.104166666666667</v>
      </c>
      <c r="E7" s="12">
        <v>46268.350694444503</v>
      </c>
      <c r="F7" s="13">
        <f t="shared" si="0"/>
        <v>5.92</v>
      </c>
      <c r="G7" s="8">
        <v>5</v>
      </c>
      <c r="H7" s="8" t="s">
        <v>14</v>
      </c>
      <c r="I7" s="10" t="s">
        <v>19</v>
      </c>
      <c r="J7" s="8" t="s">
        <v>16</v>
      </c>
      <c r="K7" s="33" t="s">
        <v>20</v>
      </c>
    </row>
    <row r="8" spans="1:11" x14ac:dyDescent="0.25">
      <c r="A8" s="30">
        <v>3</v>
      </c>
      <c r="B8" s="3">
        <v>46269</v>
      </c>
      <c r="C8" s="4" t="s">
        <v>21</v>
      </c>
      <c r="D8" s="5">
        <v>0.29861111111111099</v>
      </c>
      <c r="E8" s="6">
        <v>46269.527777777803</v>
      </c>
      <c r="F8" s="7">
        <f t="shared" si="0"/>
        <v>5.5</v>
      </c>
      <c r="G8" s="2">
        <v>5</v>
      </c>
      <c r="H8" s="2" t="s">
        <v>14</v>
      </c>
      <c r="I8" s="4" t="s">
        <v>22</v>
      </c>
      <c r="J8" s="2" t="s">
        <v>16</v>
      </c>
      <c r="K8" s="31" t="s">
        <v>23</v>
      </c>
    </row>
    <row r="9" spans="1:11" x14ac:dyDescent="0.25">
      <c r="A9" s="32">
        <v>4</v>
      </c>
      <c r="B9" s="9">
        <v>46269</v>
      </c>
      <c r="C9" s="10" t="s">
        <v>24</v>
      </c>
      <c r="D9" s="11">
        <v>0.50694444444444398</v>
      </c>
      <c r="E9" s="12">
        <v>46269.930555555598</v>
      </c>
      <c r="F9" s="13">
        <f t="shared" si="0"/>
        <v>10.17</v>
      </c>
      <c r="G9" s="8">
        <v>3</v>
      </c>
      <c r="H9" s="8" t="s">
        <v>14</v>
      </c>
      <c r="I9" s="10" t="s">
        <v>25</v>
      </c>
      <c r="J9" s="8" t="s">
        <v>16</v>
      </c>
      <c r="K9" s="33" t="s">
        <v>26</v>
      </c>
    </row>
    <row r="10" spans="1:11" x14ac:dyDescent="0.25">
      <c r="A10" s="30">
        <v>5</v>
      </c>
      <c r="B10" s="3">
        <v>46270</v>
      </c>
      <c r="C10" s="4" t="s">
        <v>27</v>
      </c>
      <c r="D10" s="5">
        <v>0.1875</v>
      </c>
      <c r="E10" s="6">
        <v>46270.340277777803</v>
      </c>
      <c r="F10" s="7">
        <f t="shared" si="0"/>
        <v>3.67</v>
      </c>
      <c r="G10" s="2">
        <v>4</v>
      </c>
      <c r="H10" s="2" t="s">
        <v>28</v>
      </c>
      <c r="I10" s="4" t="s">
        <v>19</v>
      </c>
      <c r="J10" s="2" t="s">
        <v>16</v>
      </c>
      <c r="K10" s="31" t="s">
        <v>20</v>
      </c>
    </row>
    <row r="11" spans="1:11" x14ac:dyDescent="0.25">
      <c r="A11" s="32">
        <v>6</v>
      </c>
      <c r="B11" s="9">
        <v>46270</v>
      </c>
      <c r="C11" s="10" t="s">
        <v>13</v>
      </c>
      <c r="D11" s="11">
        <v>0.45833333333333298</v>
      </c>
      <c r="E11" s="12">
        <v>46270.996527777803</v>
      </c>
      <c r="F11" s="13">
        <f t="shared" si="0"/>
        <v>12.92</v>
      </c>
      <c r="G11" s="8">
        <v>7</v>
      </c>
      <c r="H11" s="8" t="s">
        <v>29</v>
      </c>
      <c r="I11" s="10" t="s">
        <v>15</v>
      </c>
      <c r="J11" s="8" t="s">
        <v>16</v>
      </c>
      <c r="K11" s="33" t="s">
        <v>17</v>
      </c>
    </row>
    <row r="12" spans="1:11" x14ac:dyDescent="0.25">
      <c r="A12" s="30">
        <v>7</v>
      </c>
      <c r="B12" s="3">
        <v>46270</v>
      </c>
      <c r="C12" s="4" t="s">
        <v>30</v>
      </c>
      <c r="D12" s="5">
        <v>0.625</v>
      </c>
      <c r="E12" s="6">
        <v>46271.013888888898</v>
      </c>
      <c r="F12" s="7">
        <f t="shared" si="0"/>
        <v>9.33</v>
      </c>
      <c r="G12" s="2">
        <v>2</v>
      </c>
      <c r="H12" s="2" t="s">
        <v>14</v>
      </c>
      <c r="I12" s="4" t="s">
        <v>31</v>
      </c>
      <c r="J12" s="2" t="s">
        <v>16</v>
      </c>
      <c r="K12" s="31" t="s">
        <v>23</v>
      </c>
    </row>
    <row r="13" spans="1:11" x14ac:dyDescent="0.25">
      <c r="A13" s="32">
        <v>8</v>
      </c>
      <c r="B13" s="9">
        <v>46271</v>
      </c>
      <c r="C13" s="10" t="s">
        <v>24</v>
      </c>
      <c r="D13" s="11">
        <v>0.35416666666666702</v>
      </c>
      <c r="E13" s="12">
        <v>46271.770833333299</v>
      </c>
      <c r="F13" s="13">
        <f t="shared" si="0"/>
        <v>10</v>
      </c>
      <c r="G13" s="8">
        <v>3</v>
      </c>
      <c r="H13" s="8" t="s">
        <v>14</v>
      </c>
      <c r="I13" s="10" t="s">
        <v>32</v>
      </c>
      <c r="J13" s="8" t="s">
        <v>16</v>
      </c>
      <c r="K13" s="33" t="s">
        <v>33</v>
      </c>
    </row>
    <row r="14" spans="1:11" x14ac:dyDescent="0.25">
      <c r="A14" s="30">
        <v>9</v>
      </c>
      <c r="B14" s="3">
        <v>46271</v>
      </c>
      <c r="C14" s="4" t="s">
        <v>27</v>
      </c>
      <c r="D14" s="5">
        <v>0.36111111111111099</v>
      </c>
      <c r="E14" s="6">
        <v>46271.736111111102</v>
      </c>
      <c r="F14" s="7">
        <f t="shared" si="0"/>
        <v>9</v>
      </c>
      <c r="G14" s="2">
        <v>4</v>
      </c>
      <c r="H14" s="2" t="s">
        <v>14</v>
      </c>
      <c r="I14" s="4" t="s">
        <v>34</v>
      </c>
      <c r="J14" s="2" t="s">
        <v>16</v>
      </c>
      <c r="K14" s="31" t="s">
        <v>23</v>
      </c>
    </row>
    <row r="15" spans="1:11" x14ac:dyDescent="0.25">
      <c r="A15" s="32">
        <v>10</v>
      </c>
      <c r="B15" s="9">
        <v>46271</v>
      </c>
      <c r="C15" s="10" t="s">
        <v>18</v>
      </c>
      <c r="D15" s="11">
        <v>0.90972222222222199</v>
      </c>
      <c r="E15" s="12">
        <v>46272.444444444503</v>
      </c>
      <c r="F15" s="13">
        <f t="shared" si="0"/>
        <v>12.83</v>
      </c>
      <c r="G15" s="8">
        <v>6</v>
      </c>
      <c r="H15" s="8" t="s">
        <v>29</v>
      </c>
      <c r="I15" s="10" t="s">
        <v>25</v>
      </c>
      <c r="J15" s="8" t="s">
        <v>16</v>
      </c>
      <c r="K15" s="33" t="s">
        <v>26</v>
      </c>
    </row>
    <row r="16" spans="1:11" x14ac:dyDescent="0.25">
      <c r="A16" s="30">
        <v>11</v>
      </c>
      <c r="B16" s="3">
        <v>46276</v>
      </c>
      <c r="C16" s="4" t="s">
        <v>35</v>
      </c>
      <c r="D16" s="5">
        <v>0.45138888888888901</v>
      </c>
      <c r="E16" s="6">
        <v>46276.986111111102</v>
      </c>
      <c r="F16" s="7">
        <f t="shared" si="0"/>
        <v>12.83</v>
      </c>
      <c r="G16" s="2">
        <v>6</v>
      </c>
      <c r="H16" s="2" t="s">
        <v>29</v>
      </c>
      <c r="I16" s="4" t="s">
        <v>36</v>
      </c>
      <c r="J16" s="2" t="s">
        <v>16</v>
      </c>
      <c r="K16" s="31" t="s">
        <v>26</v>
      </c>
    </row>
    <row r="17" spans="1:11" x14ac:dyDescent="0.25">
      <c r="A17" s="32">
        <v>12</v>
      </c>
      <c r="B17" s="9">
        <v>46276</v>
      </c>
      <c r="C17" s="10" t="s">
        <v>18</v>
      </c>
      <c r="D17" s="11">
        <v>0.86458333333333304</v>
      </c>
      <c r="E17" s="12">
        <v>46277.642361111102</v>
      </c>
      <c r="F17" s="13">
        <f t="shared" si="0"/>
        <v>18.670000000000002</v>
      </c>
      <c r="G17" s="8">
        <v>3</v>
      </c>
      <c r="H17" s="8" t="s">
        <v>29</v>
      </c>
      <c r="I17" s="10" t="s">
        <v>37</v>
      </c>
      <c r="J17" s="8" t="s">
        <v>16</v>
      </c>
      <c r="K17" s="33" t="s">
        <v>26</v>
      </c>
    </row>
    <row r="18" spans="1:11" x14ac:dyDescent="0.25">
      <c r="A18" s="30">
        <v>13</v>
      </c>
      <c r="B18" s="3">
        <v>46277</v>
      </c>
      <c r="C18" s="4" t="s">
        <v>38</v>
      </c>
      <c r="D18" s="5">
        <v>0.41666666666666702</v>
      </c>
      <c r="E18" s="6">
        <v>46277.600694444503</v>
      </c>
      <c r="F18" s="7">
        <f t="shared" si="0"/>
        <v>4.42</v>
      </c>
      <c r="G18" s="2">
        <v>5</v>
      </c>
      <c r="H18" s="2" t="s">
        <v>14</v>
      </c>
      <c r="I18" s="4" t="s">
        <v>34</v>
      </c>
      <c r="J18" s="2" t="s">
        <v>16</v>
      </c>
      <c r="K18" s="31" t="s">
        <v>23</v>
      </c>
    </row>
    <row r="19" spans="1:11" x14ac:dyDescent="0.25">
      <c r="A19" s="32">
        <v>14</v>
      </c>
      <c r="B19" s="9">
        <v>46278</v>
      </c>
      <c r="C19" s="10" t="s">
        <v>24</v>
      </c>
      <c r="D19" s="11">
        <v>0.25694444444444398</v>
      </c>
      <c r="E19" s="12">
        <v>46278.496527777803</v>
      </c>
      <c r="F19" s="13">
        <f t="shared" si="0"/>
        <v>5.75</v>
      </c>
      <c r="G19" s="8">
        <v>4</v>
      </c>
      <c r="H19" s="8" t="s">
        <v>14</v>
      </c>
      <c r="I19" s="10" t="s">
        <v>39</v>
      </c>
      <c r="J19" s="8" t="s">
        <v>16</v>
      </c>
      <c r="K19" s="33" t="s">
        <v>20</v>
      </c>
    </row>
    <row r="20" spans="1:11" x14ac:dyDescent="0.25">
      <c r="A20" s="30">
        <v>15</v>
      </c>
      <c r="B20" s="3">
        <v>46279</v>
      </c>
      <c r="C20" s="4" t="s">
        <v>18</v>
      </c>
      <c r="D20" s="5">
        <v>0.33333333333333298</v>
      </c>
      <c r="E20" s="6">
        <v>46279.604166666701</v>
      </c>
      <c r="F20" s="7">
        <f t="shared" si="0"/>
        <v>6.5</v>
      </c>
      <c r="G20" s="2">
        <v>2</v>
      </c>
      <c r="H20" s="2" t="s">
        <v>28</v>
      </c>
      <c r="I20" s="4" t="s">
        <v>40</v>
      </c>
      <c r="J20" s="2" t="s">
        <v>16</v>
      </c>
      <c r="K20" s="31" t="s">
        <v>17</v>
      </c>
    </row>
    <row r="21" spans="1:11" x14ac:dyDescent="0.25">
      <c r="A21" s="32">
        <v>16</v>
      </c>
      <c r="B21" s="9">
        <v>46279</v>
      </c>
      <c r="C21" s="10" t="s">
        <v>18</v>
      </c>
      <c r="D21" s="11">
        <v>0.65625</v>
      </c>
      <c r="E21" s="12">
        <v>46280.020833333299</v>
      </c>
      <c r="F21" s="13">
        <f t="shared" si="0"/>
        <v>8.75</v>
      </c>
      <c r="G21" s="8">
        <v>3</v>
      </c>
      <c r="H21" s="8" t="s">
        <v>14</v>
      </c>
      <c r="I21" s="10" t="s">
        <v>41</v>
      </c>
      <c r="J21" s="8" t="s">
        <v>16</v>
      </c>
      <c r="K21" s="33" t="s">
        <v>20</v>
      </c>
    </row>
    <row r="22" spans="1:11" x14ac:dyDescent="0.25">
      <c r="A22" s="30">
        <v>17</v>
      </c>
      <c r="B22" s="3">
        <v>46279</v>
      </c>
      <c r="C22" s="4" t="s">
        <v>35</v>
      </c>
      <c r="D22" s="5">
        <v>0.82291666666666696</v>
      </c>
      <c r="E22" s="6">
        <v>46280.385416666701</v>
      </c>
      <c r="F22" s="7">
        <f t="shared" si="0"/>
        <v>13.5</v>
      </c>
      <c r="G22" s="2">
        <v>5</v>
      </c>
      <c r="H22" s="2" t="s">
        <v>29</v>
      </c>
      <c r="I22" s="4" t="s">
        <v>36</v>
      </c>
      <c r="J22" s="2" t="s">
        <v>16</v>
      </c>
      <c r="K22" s="31" t="s">
        <v>26</v>
      </c>
    </row>
    <row r="23" spans="1:11" x14ac:dyDescent="0.25">
      <c r="A23" s="32">
        <v>18</v>
      </c>
      <c r="B23" s="9">
        <v>46279</v>
      </c>
      <c r="C23" s="10" t="s">
        <v>42</v>
      </c>
      <c r="D23" s="11">
        <v>0.82638888888888895</v>
      </c>
      <c r="E23" s="12">
        <v>46280.03125</v>
      </c>
      <c r="F23" s="13">
        <f t="shared" si="0"/>
        <v>4.92</v>
      </c>
      <c r="G23" s="8">
        <v>6</v>
      </c>
      <c r="H23" s="8" t="s">
        <v>14</v>
      </c>
      <c r="I23" s="10" t="s">
        <v>43</v>
      </c>
      <c r="J23" s="8" t="s">
        <v>16</v>
      </c>
      <c r="K23" s="33" t="s">
        <v>33</v>
      </c>
    </row>
    <row r="24" spans="1:11" x14ac:dyDescent="0.25">
      <c r="A24" s="30">
        <v>19</v>
      </c>
      <c r="B24" s="3">
        <v>46280</v>
      </c>
      <c r="C24" s="4" t="s">
        <v>21</v>
      </c>
      <c r="D24" s="5">
        <v>2.7777777777777801E-2</v>
      </c>
      <c r="E24" s="6">
        <v>46280.211805555598</v>
      </c>
      <c r="F24" s="7">
        <f t="shared" si="0"/>
        <v>4.42</v>
      </c>
      <c r="G24" s="2">
        <v>4</v>
      </c>
      <c r="H24" s="2" t="s">
        <v>28</v>
      </c>
      <c r="I24" s="4" t="s">
        <v>32</v>
      </c>
      <c r="J24" s="2" t="s">
        <v>16</v>
      </c>
      <c r="K24" s="31" t="s">
        <v>33</v>
      </c>
    </row>
    <row r="25" spans="1:11" x14ac:dyDescent="0.25">
      <c r="A25" s="32">
        <v>20</v>
      </c>
      <c r="B25" s="9">
        <v>46281</v>
      </c>
      <c r="C25" s="10" t="s">
        <v>21</v>
      </c>
      <c r="D25" s="11">
        <v>0.72222222222222199</v>
      </c>
      <c r="E25" s="12">
        <v>46281.822916666701</v>
      </c>
      <c r="F25" s="13">
        <f t="shared" si="0"/>
        <v>2.42</v>
      </c>
      <c r="G25" s="8">
        <v>2</v>
      </c>
      <c r="H25" s="8" t="s">
        <v>28</v>
      </c>
      <c r="I25" s="10" t="s">
        <v>32</v>
      </c>
      <c r="J25" s="8" t="s">
        <v>16</v>
      </c>
      <c r="K25" s="33" t="s">
        <v>33</v>
      </c>
    </row>
    <row r="26" spans="1:11" x14ac:dyDescent="0.25">
      <c r="A26" s="30">
        <v>21</v>
      </c>
      <c r="B26" s="3">
        <v>46281</v>
      </c>
      <c r="C26" s="4" t="s">
        <v>13</v>
      </c>
      <c r="D26" s="5">
        <v>0.75694444444444398</v>
      </c>
      <c r="E26" s="6">
        <v>46282.184027777803</v>
      </c>
      <c r="F26" s="7">
        <f t="shared" si="0"/>
        <v>10.25</v>
      </c>
      <c r="G26" s="2">
        <v>6</v>
      </c>
      <c r="H26" s="2" t="s">
        <v>29</v>
      </c>
      <c r="I26" s="4" t="s">
        <v>31</v>
      </c>
      <c r="J26" s="2" t="s">
        <v>16</v>
      </c>
      <c r="K26" s="31" t="s">
        <v>23</v>
      </c>
    </row>
    <row r="27" spans="1:11" x14ac:dyDescent="0.25">
      <c r="A27" s="32">
        <v>22</v>
      </c>
      <c r="B27" s="9">
        <v>46283</v>
      </c>
      <c r="C27" s="10" t="s">
        <v>44</v>
      </c>
      <c r="D27" s="11">
        <v>0.26388888888888901</v>
      </c>
      <c r="E27" s="12">
        <v>46283.326388888898</v>
      </c>
      <c r="F27" s="13">
        <f t="shared" si="0"/>
        <v>1.5</v>
      </c>
      <c r="G27" s="8">
        <v>4</v>
      </c>
      <c r="H27" s="8" t="s">
        <v>28</v>
      </c>
      <c r="I27" s="10" t="s">
        <v>45</v>
      </c>
      <c r="J27" s="8" t="s">
        <v>16</v>
      </c>
      <c r="K27" s="33" t="s">
        <v>33</v>
      </c>
    </row>
    <row r="28" spans="1:11" x14ac:dyDescent="0.25">
      <c r="A28" s="30">
        <v>23</v>
      </c>
      <c r="B28" s="3">
        <v>46283</v>
      </c>
      <c r="C28" s="4" t="s">
        <v>38</v>
      </c>
      <c r="D28" s="5">
        <v>0.32291666666666702</v>
      </c>
      <c r="E28" s="6">
        <v>46283.40625</v>
      </c>
      <c r="F28" s="7">
        <f t="shared" si="0"/>
        <v>2</v>
      </c>
      <c r="G28" s="2">
        <v>4</v>
      </c>
      <c r="H28" s="2" t="s">
        <v>14</v>
      </c>
      <c r="I28" s="4" t="s">
        <v>31</v>
      </c>
      <c r="J28" s="2" t="s">
        <v>16</v>
      </c>
      <c r="K28" s="31" t="s">
        <v>23</v>
      </c>
    </row>
    <row r="29" spans="1:11" x14ac:dyDescent="0.25">
      <c r="A29" s="32">
        <v>24</v>
      </c>
      <c r="B29" s="9">
        <v>46283</v>
      </c>
      <c r="C29" s="10" t="s">
        <v>30</v>
      </c>
      <c r="D29" s="11">
        <v>0.375</v>
      </c>
      <c r="E29" s="12">
        <v>46283.628472222197</v>
      </c>
      <c r="F29" s="13">
        <f t="shared" si="0"/>
        <v>6.08</v>
      </c>
      <c r="G29" s="8">
        <v>5</v>
      </c>
      <c r="H29" s="8" t="s">
        <v>14</v>
      </c>
      <c r="I29" s="10" t="s">
        <v>45</v>
      </c>
      <c r="J29" s="8" t="s">
        <v>16</v>
      </c>
      <c r="K29" s="33" t="s">
        <v>33</v>
      </c>
    </row>
    <row r="30" spans="1:11" x14ac:dyDescent="0.25">
      <c r="A30" s="30">
        <v>25</v>
      </c>
      <c r="B30" s="3">
        <v>46284</v>
      </c>
      <c r="C30" s="4" t="s">
        <v>44</v>
      </c>
      <c r="D30" s="5">
        <v>0.76736111111111105</v>
      </c>
      <c r="E30" s="6">
        <v>46284.920138888898</v>
      </c>
      <c r="F30" s="7">
        <f t="shared" si="0"/>
        <v>3.67</v>
      </c>
      <c r="G30" s="2">
        <v>1</v>
      </c>
      <c r="H30" s="2" t="s">
        <v>28</v>
      </c>
      <c r="I30" s="4" t="s">
        <v>43</v>
      </c>
      <c r="J30" s="2" t="s">
        <v>16</v>
      </c>
      <c r="K30" s="31" t="s">
        <v>33</v>
      </c>
    </row>
    <row r="31" spans="1:11" x14ac:dyDescent="0.25">
      <c r="A31" s="32">
        <v>26</v>
      </c>
      <c r="B31" s="9">
        <v>46284</v>
      </c>
      <c r="C31" s="10" t="s">
        <v>42</v>
      </c>
      <c r="D31" s="11">
        <v>0.97569444444444398</v>
      </c>
      <c r="E31" s="12">
        <v>46285.159722222197</v>
      </c>
      <c r="F31" s="13">
        <f t="shared" si="0"/>
        <v>4.42</v>
      </c>
      <c r="G31" s="8">
        <v>4</v>
      </c>
      <c r="H31" s="8" t="s">
        <v>14</v>
      </c>
      <c r="I31" s="10" t="s">
        <v>43</v>
      </c>
      <c r="J31" s="8" t="s">
        <v>16</v>
      </c>
      <c r="K31" s="33" t="s">
        <v>33</v>
      </c>
    </row>
    <row r="32" spans="1:11" x14ac:dyDescent="0.25">
      <c r="A32" s="30">
        <v>27</v>
      </c>
      <c r="B32" s="3">
        <v>46285</v>
      </c>
      <c r="C32" s="4" t="s">
        <v>27</v>
      </c>
      <c r="D32" s="5">
        <v>0.71527777777777801</v>
      </c>
      <c r="E32" s="6">
        <v>46286.545138888898</v>
      </c>
      <c r="F32" s="7">
        <f t="shared" si="0"/>
        <v>19.920000000000002</v>
      </c>
      <c r="G32" s="2">
        <v>5</v>
      </c>
      <c r="H32" s="2" t="s">
        <v>29</v>
      </c>
      <c r="I32" s="4" t="s">
        <v>19</v>
      </c>
      <c r="J32" s="2" t="s">
        <v>16</v>
      </c>
      <c r="K32" s="31" t="s">
        <v>20</v>
      </c>
    </row>
    <row r="33" spans="1:11" x14ac:dyDescent="0.25">
      <c r="A33" s="32">
        <v>28</v>
      </c>
      <c r="B33" s="9">
        <v>46287</v>
      </c>
      <c r="C33" s="10" t="s">
        <v>27</v>
      </c>
      <c r="D33" s="11">
        <v>0.104166666666667</v>
      </c>
      <c r="E33" s="12">
        <v>46287.524305555598</v>
      </c>
      <c r="F33" s="13">
        <f t="shared" si="0"/>
        <v>10.08</v>
      </c>
      <c r="G33" s="8">
        <v>4</v>
      </c>
      <c r="H33" s="8" t="s">
        <v>14</v>
      </c>
      <c r="I33" s="10" t="s">
        <v>39</v>
      </c>
      <c r="J33" s="8" t="s">
        <v>16</v>
      </c>
      <c r="K33" s="33" t="s">
        <v>20</v>
      </c>
    </row>
    <row r="34" spans="1:11" x14ac:dyDescent="0.25">
      <c r="A34" s="30">
        <v>29</v>
      </c>
      <c r="B34" s="3">
        <v>46287</v>
      </c>
      <c r="C34" s="4" t="s">
        <v>13</v>
      </c>
      <c r="D34" s="5">
        <v>0.46527777777777801</v>
      </c>
      <c r="E34" s="6">
        <v>46287.697916666701</v>
      </c>
      <c r="F34" s="7">
        <f t="shared" si="0"/>
        <v>5.58</v>
      </c>
      <c r="G34" s="2">
        <v>6</v>
      </c>
      <c r="H34" s="2" t="s">
        <v>28</v>
      </c>
      <c r="I34" s="4" t="s">
        <v>41</v>
      </c>
      <c r="J34" s="2" t="s">
        <v>16</v>
      </c>
      <c r="K34" s="31" t="s">
        <v>20</v>
      </c>
    </row>
    <row r="35" spans="1:11" x14ac:dyDescent="0.25">
      <c r="A35" s="32">
        <v>30</v>
      </c>
      <c r="B35" s="9">
        <v>46288</v>
      </c>
      <c r="C35" s="10" t="s">
        <v>13</v>
      </c>
      <c r="D35" s="11">
        <v>0.46875</v>
      </c>
      <c r="E35" s="12">
        <v>46288.791666666701</v>
      </c>
      <c r="F35" s="13">
        <f t="shared" si="0"/>
        <v>7.75</v>
      </c>
      <c r="G35" s="8">
        <v>6</v>
      </c>
      <c r="H35" s="8" t="s">
        <v>14</v>
      </c>
      <c r="I35" s="10" t="s">
        <v>43</v>
      </c>
      <c r="J35" s="8" t="s">
        <v>16</v>
      </c>
      <c r="K35" s="33" t="s">
        <v>33</v>
      </c>
    </row>
    <row r="36" spans="1:11" x14ac:dyDescent="0.25">
      <c r="A36" s="30">
        <v>31</v>
      </c>
      <c r="B36" s="3">
        <v>46289</v>
      </c>
      <c r="C36" s="4" t="s">
        <v>35</v>
      </c>
      <c r="D36" s="5">
        <v>0.79166666666666696</v>
      </c>
      <c r="E36" s="6">
        <v>46290.069444444503</v>
      </c>
      <c r="F36" s="7">
        <f t="shared" si="0"/>
        <v>6.67</v>
      </c>
      <c r="G36" s="2">
        <v>3</v>
      </c>
      <c r="H36" s="2" t="s">
        <v>28</v>
      </c>
      <c r="I36" s="4" t="s">
        <v>15</v>
      </c>
      <c r="J36" s="2" t="s">
        <v>16</v>
      </c>
      <c r="K36" s="31" t="s">
        <v>17</v>
      </c>
    </row>
    <row r="37" spans="1:11" x14ac:dyDescent="0.25">
      <c r="A37" s="32">
        <v>32</v>
      </c>
      <c r="B37" s="9">
        <v>46290</v>
      </c>
      <c r="C37" s="10" t="s">
        <v>13</v>
      </c>
      <c r="D37" s="11">
        <v>0.16666666666666699</v>
      </c>
      <c r="E37" s="12">
        <v>46291.138888888898</v>
      </c>
      <c r="F37" s="13">
        <f t="shared" si="0"/>
        <v>23.33</v>
      </c>
      <c r="G37" s="8">
        <v>5</v>
      </c>
      <c r="H37" s="8" t="s">
        <v>29</v>
      </c>
      <c r="I37" s="10" t="s">
        <v>31</v>
      </c>
      <c r="J37" s="8" t="s">
        <v>16</v>
      </c>
      <c r="K37" s="33" t="s">
        <v>23</v>
      </c>
    </row>
    <row r="38" spans="1:11" x14ac:dyDescent="0.25">
      <c r="A38" s="30">
        <v>33</v>
      </c>
      <c r="B38" s="3">
        <v>46290</v>
      </c>
      <c r="C38" s="4" t="s">
        <v>35</v>
      </c>
      <c r="D38" s="5">
        <v>0.5625</v>
      </c>
      <c r="E38" s="6">
        <v>46291.03125</v>
      </c>
      <c r="F38" s="7">
        <f t="shared" si="0"/>
        <v>11.25</v>
      </c>
      <c r="G38" s="2">
        <v>4</v>
      </c>
      <c r="H38" s="2" t="s">
        <v>29</v>
      </c>
      <c r="I38" s="4" t="s">
        <v>36</v>
      </c>
      <c r="J38" s="2" t="s">
        <v>16</v>
      </c>
      <c r="K38" s="31" t="s">
        <v>26</v>
      </c>
    </row>
    <row r="39" spans="1:11" x14ac:dyDescent="0.25">
      <c r="A39" s="32">
        <v>34</v>
      </c>
      <c r="B39" s="9">
        <v>46292</v>
      </c>
      <c r="C39" s="10" t="s">
        <v>42</v>
      </c>
      <c r="D39" s="11">
        <v>0.14583333333333301</v>
      </c>
      <c r="E39" s="12">
        <v>46292.378472222197</v>
      </c>
      <c r="F39" s="13">
        <f t="shared" si="0"/>
        <v>5.58</v>
      </c>
      <c r="G39" s="8">
        <v>4</v>
      </c>
      <c r="H39" s="8" t="s">
        <v>28</v>
      </c>
      <c r="I39" s="10" t="s">
        <v>19</v>
      </c>
      <c r="J39" s="8" t="s">
        <v>16</v>
      </c>
      <c r="K39" s="33" t="s">
        <v>20</v>
      </c>
    </row>
    <row r="40" spans="1:11" x14ac:dyDescent="0.25">
      <c r="A40" s="30">
        <v>35</v>
      </c>
      <c r="B40" s="3">
        <v>46292</v>
      </c>
      <c r="C40" s="4" t="s">
        <v>35</v>
      </c>
      <c r="D40" s="5">
        <v>0.15972222222222199</v>
      </c>
      <c r="E40" s="6">
        <v>46292.364583333299</v>
      </c>
      <c r="F40" s="7">
        <f t="shared" si="0"/>
        <v>4.92</v>
      </c>
      <c r="G40" s="2">
        <v>3</v>
      </c>
      <c r="H40" s="2" t="s">
        <v>28</v>
      </c>
      <c r="I40" s="4" t="s">
        <v>46</v>
      </c>
      <c r="J40" s="2" t="s">
        <v>16</v>
      </c>
      <c r="K40" s="31" t="s">
        <v>17</v>
      </c>
    </row>
    <row r="41" spans="1:11" x14ac:dyDescent="0.25">
      <c r="A41" s="32">
        <v>36</v>
      </c>
      <c r="B41" s="9">
        <v>46293</v>
      </c>
      <c r="C41" s="10" t="s">
        <v>38</v>
      </c>
      <c r="D41" s="11">
        <v>0.17361111111111099</v>
      </c>
      <c r="E41" s="12">
        <v>46293.628472222197</v>
      </c>
      <c r="F41" s="13">
        <f t="shared" si="0"/>
        <v>10.92</v>
      </c>
      <c r="G41" s="8">
        <v>6</v>
      </c>
      <c r="H41" s="8" t="s">
        <v>29</v>
      </c>
      <c r="I41" s="10" t="s">
        <v>39</v>
      </c>
      <c r="J41" s="8" t="s">
        <v>16</v>
      </c>
      <c r="K41" s="33" t="s">
        <v>20</v>
      </c>
    </row>
    <row r="42" spans="1:11" x14ac:dyDescent="0.25">
      <c r="A42" s="30">
        <v>37</v>
      </c>
      <c r="B42" s="3">
        <v>46293</v>
      </c>
      <c r="C42" s="4" t="s">
        <v>30</v>
      </c>
      <c r="D42" s="5">
        <v>0.70833333333333304</v>
      </c>
      <c r="E42" s="6">
        <v>46293.909722222197</v>
      </c>
      <c r="F42" s="7">
        <f t="shared" si="0"/>
        <v>4.83</v>
      </c>
      <c r="G42" s="2">
        <v>1</v>
      </c>
      <c r="H42" s="2" t="s">
        <v>28</v>
      </c>
      <c r="I42" s="4" t="s">
        <v>32</v>
      </c>
      <c r="J42" s="2" t="s">
        <v>16</v>
      </c>
      <c r="K42" s="31" t="s">
        <v>33</v>
      </c>
    </row>
    <row r="43" spans="1:11" x14ac:dyDescent="0.25">
      <c r="A43" s="32">
        <v>38</v>
      </c>
      <c r="B43" s="9">
        <v>46294</v>
      </c>
      <c r="C43" s="10" t="s">
        <v>24</v>
      </c>
      <c r="D43" s="11">
        <v>0.4375</v>
      </c>
      <c r="E43" s="12">
        <v>46294.607638888898</v>
      </c>
      <c r="F43" s="13">
        <f t="shared" si="0"/>
        <v>4.08</v>
      </c>
      <c r="G43" s="8">
        <v>3</v>
      </c>
      <c r="H43" s="8" t="s">
        <v>28</v>
      </c>
      <c r="I43" s="10" t="s">
        <v>46</v>
      </c>
      <c r="J43" s="8" t="s">
        <v>16</v>
      </c>
      <c r="K43" s="33" t="s">
        <v>17</v>
      </c>
    </row>
    <row r="44" spans="1:11" x14ac:dyDescent="0.25">
      <c r="A44" s="30">
        <v>39</v>
      </c>
      <c r="B44" s="3">
        <v>46295</v>
      </c>
      <c r="C44" s="4" t="s">
        <v>38</v>
      </c>
      <c r="D44" s="5">
        <v>0.34375</v>
      </c>
      <c r="E44" s="6">
        <v>46295.465277777803</v>
      </c>
      <c r="F44" s="7">
        <f t="shared" si="0"/>
        <v>2.92</v>
      </c>
      <c r="G44" s="2">
        <v>6</v>
      </c>
      <c r="H44" s="2" t="s">
        <v>29</v>
      </c>
      <c r="I44" s="4" t="s">
        <v>32</v>
      </c>
      <c r="J44" s="2" t="s">
        <v>16</v>
      </c>
      <c r="K44" s="31" t="s">
        <v>33</v>
      </c>
    </row>
    <row r="45" spans="1:11" ht="15.75" thickBot="1" x14ac:dyDescent="0.3">
      <c r="A45" s="32">
        <v>40</v>
      </c>
      <c r="B45" s="9">
        <v>46295</v>
      </c>
      <c r="C45" s="10" t="s">
        <v>13</v>
      </c>
      <c r="D45" s="11">
        <v>0.96527777777777801</v>
      </c>
      <c r="E45" s="12">
        <v>46296.329861111102</v>
      </c>
      <c r="F45" s="13">
        <f t="shared" si="0"/>
        <v>8.75</v>
      </c>
      <c r="G45" s="8">
        <v>6</v>
      </c>
      <c r="H45" s="8" t="s">
        <v>29</v>
      </c>
      <c r="I45" s="10" t="s">
        <v>15</v>
      </c>
      <c r="J45" s="8" t="s">
        <v>16</v>
      </c>
      <c r="K45" s="33" t="s">
        <v>17</v>
      </c>
    </row>
    <row r="46" spans="1:11" ht="27.95" customHeight="1" x14ac:dyDescent="0.25">
      <c r="A46" s="34"/>
      <c r="B46" s="35"/>
      <c r="C46" s="35"/>
      <c r="D46" s="35"/>
      <c r="E46" s="36" t="s">
        <v>47</v>
      </c>
      <c r="F46" s="37">
        <f>AVERAGE(F6:F45)</f>
        <v>8.0797500000000007</v>
      </c>
      <c r="G46" s="38">
        <f>SUM(G6:G45)</f>
        <v>172</v>
      </c>
      <c r="H46" s="35"/>
      <c r="I46" s="35"/>
      <c r="J46" s="35"/>
      <c r="K46" s="39"/>
    </row>
  </sheetData>
  <autoFilter ref="A5:K45" xr:uid="{00000000-0009-0000-0000-000000000000}"/>
  <mergeCells count="3">
    <mergeCell ref="A1:K1"/>
    <mergeCell ref="A2:G2"/>
    <mergeCell ref="A3:I3"/>
  </mergeCells>
  <conditionalFormatting sqref="H6:H45">
    <cfRule type="cellIs" dxfId="2" priority="2" operator="equal">
      <formula>"Alto"</formula>
    </cfRule>
    <cfRule type="cellIs" dxfId="1" priority="3" operator="equal">
      <formula>"Médio"</formula>
    </cfRule>
    <cfRule type="cellIs" dxfId="0" priority="4" operator="equal">
      <formula>"Baixo"</formula>
    </cfRule>
  </conditionalFormatting>
  <dataValidations count="2">
    <dataValidation type="list" sqref="H6:H45" xr:uid="{00000000-0002-0000-0000-000000000000}">
      <formula1>"Baixo,Médio,Alto"</formula1>
      <formula2>0</formula2>
    </dataValidation>
    <dataValidation type="whole" operator="greaterThanOrEqual" allowBlank="1" error="A frequência não pode ser negativa." sqref="G6:G45" xr:uid="{00000000-0002-0000-0000-000001000000}">
      <formula1>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107"/>
  <sheetViews>
    <sheetView showGridLines="0" zoomScaleNormal="100" workbookViewId="0">
      <selection activeCell="B2" sqref="B2:N2"/>
    </sheetView>
  </sheetViews>
  <sheetFormatPr defaultColWidth="8.7109375" defaultRowHeight="15" x14ac:dyDescent="0.25"/>
  <cols>
    <col min="1" max="1" width="2" customWidth="1"/>
    <col min="2" max="2" width="34" customWidth="1"/>
    <col min="3" max="3" width="18" customWidth="1"/>
    <col min="4" max="4" width="16" customWidth="1"/>
    <col min="5" max="5" width="3" customWidth="1"/>
    <col min="6" max="16" width="10" customWidth="1"/>
  </cols>
  <sheetData>
    <row r="1" spans="2:14" ht="26.25" x14ac:dyDescent="0.25">
      <c r="B1" s="61" t="s">
        <v>48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</row>
    <row r="2" spans="2:14" ht="15.75" x14ac:dyDescent="0.25">
      <c r="B2" s="64" t="s">
        <v>49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</row>
    <row r="4" spans="2:14" ht="17.25" x14ac:dyDescent="0.25">
      <c r="B4" s="40" t="s">
        <v>50</v>
      </c>
      <c r="C4" s="41"/>
    </row>
    <row r="5" spans="2:14" x14ac:dyDescent="0.25">
      <c r="B5" s="28" t="s">
        <v>51</v>
      </c>
      <c r="C5" s="29" t="s">
        <v>52</v>
      </c>
    </row>
    <row r="6" spans="2:14" x14ac:dyDescent="0.25">
      <c r="B6" s="42" t="s">
        <v>53</v>
      </c>
      <c r="C6" s="43">
        <f>COUNTA('Base de Dados'!$A$6:$A$45)</f>
        <v>40</v>
      </c>
    </row>
    <row r="7" spans="2:14" x14ac:dyDescent="0.25">
      <c r="B7" s="42" t="s">
        <v>54</v>
      </c>
      <c r="C7" s="44">
        <f>AVERAGE('Base de Dados'!$F$6:$F$45)</f>
        <v>8.0797500000000007</v>
      </c>
    </row>
    <row r="8" spans="2:14" x14ac:dyDescent="0.25">
      <c r="B8" s="42" t="s">
        <v>55</v>
      </c>
      <c r="C8" s="44">
        <f>MAX('Base de Dados'!$F$6:$F$45)</f>
        <v>23.33</v>
      </c>
    </row>
    <row r="9" spans="2:14" x14ac:dyDescent="0.25">
      <c r="B9" s="42" t="s">
        <v>56</v>
      </c>
      <c r="C9" s="44">
        <f>MIN('Base de Dados'!$F$6:$F$45)</f>
        <v>1.5</v>
      </c>
    </row>
    <row r="10" spans="2:14" x14ac:dyDescent="0.25">
      <c r="B10" s="42" t="s">
        <v>57</v>
      </c>
      <c r="C10" s="43">
        <f>COUNTIF('Base de Dados'!$H$6:$H$45,"Alto")</f>
        <v>12</v>
      </c>
    </row>
    <row r="11" spans="2:14" x14ac:dyDescent="0.25">
      <c r="B11" s="45" t="s">
        <v>58</v>
      </c>
      <c r="C11" s="46">
        <f>COUNTIF('Base de Dados'!$F$6:$F$45,"&gt;=12")</f>
        <v>7</v>
      </c>
    </row>
    <row r="14" spans="2:14" ht="17.25" x14ac:dyDescent="0.25">
      <c r="B14" s="40" t="s">
        <v>59</v>
      </c>
      <c r="C14" s="47"/>
      <c r="D14" s="41"/>
    </row>
    <row r="15" spans="2:14" x14ac:dyDescent="0.25">
      <c r="B15" s="28" t="s">
        <v>60</v>
      </c>
      <c r="C15" s="1" t="s">
        <v>61</v>
      </c>
      <c r="D15" s="29" t="s">
        <v>62</v>
      </c>
    </row>
    <row r="16" spans="2:14" x14ac:dyDescent="0.25">
      <c r="B16" s="42" t="s">
        <v>28</v>
      </c>
      <c r="C16" s="14">
        <f>COUNTIF('Base de Dados'!$H$6:$H$45,B16)</f>
        <v>12</v>
      </c>
      <c r="D16" s="48">
        <f>C16/$C$19</f>
        <v>0.3</v>
      </c>
    </row>
    <row r="17" spans="2:4" x14ac:dyDescent="0.25">
      <c r="B17" s="42" t="s">
        <v>14</v>
      </c>
      <c r="C17" s="14">
        <f>COUNTIF('Base de Dados'!$H$6:$H$45,B17)</f>
        <v>16</v>
      </c>
      <c r="D17" s="48">
        <f>C17/$C$19</f>
        <v>0.4</v>
      </c>
    </row>
    <row r="18" spans="2:4" x14ac:dyDescent="0.25">
      <c r="B18" s="42" t="s">
        <v>29</v>
      </c>
      <c r="C18" s="14">
        <f>COUNTIF('Base de Dados'!$H$6:$H$45,B18)</f>
        <v>12</v>
      </c>
      <c r="D18" s="48">
        <f>C18/$C$19</f>
        <v>0.3</v>
      </c>
    </row>
    <row r="19" spans="2:4" x14ac:dyDescent="0.25">
      <c r="B19" s="49" t="s">
        <v>63</v>
      </c>
      <c r="C19" s="50">
        <f>SUM(C16:C18)</f>
        <v>40</v>
      </c>
      <c r="D19" s="51">
        <f>SUM(D16:D18)</f>
        <v>1</v>
      </c>
    </row>
    <row r="30" spans="2:4" ht="17.25" x14ac:dyDescent="0.25">
      <c r="B30" s="40" t="s">
        <v>64</v>
      </c>
      <c r="C30" s="47"/>
      <c r="D30" s="41"/>
    </row>
    <row r="31" spans="2:4" x14ac:dyDescent="0.25">
      <c r="B31" s="28" t="s">
        <v>65</v>
      </c>
      <c r="C31" s="1" t="s">
        <v>61</v>
      </c>
      <c r="D31" s="29" t="s">
        <v>62</v>
      </c>
    </row>
    <row r="32" spans="2:4" x14ac:dyDescent="0.25">
      <c r="B32" s="42" t="s">
        <v>21</v>
      </c>
      <c r="C32" s="14">
        <f>COUNTIF('Base de Dados'!$C$6:$C$45,B32)</f>
        <v>3</v>
      </c>
      <c r="D32" s="48">
        <f t="shared" ref="D32:D41" si="0">C32/$C$42</f>
        <v>7.4999999999999997E-2</v>
      </c>
    </row>
    <row r="33" spans="2:4" x14ac:dyDescent="0.25">
      <c r="B33" s="42" t="s">
        <v>38</v>
      </c>
      <c r="C33" s="14">
        <f>COUNTIF('Base de Dados'!$C$6:$C$45,B33)</f>
        <v>4</v>
      </c>
      <c r="D33" s="48">
        <f t="shared" si="0"/>
        <v>0.1</v>
      </c>
    </row>
    <row r="34" spans="2:4" x14ac:dyDescent="0.25">
      <c r="B34" s="42" t="s">
        <v>13</v>
      </c>
      <c r="C34" s="14">
        <f>COUNTIF('Base de Dados'!$C$6:$C$45,B34)</f>
        <v>7</v>
      </c>
      <c r="D34" s="48">
        <f t="shared" si="0"/>
        <v>0.17499999999999999</v>
      </c>
    </row>
    <row r="35" spans="2:4" x14ac:dyDescent="0.25">
      <c r="B35" s="42" t="s">
        <v>35</v>
      </c>
      <c r="C35" s="14">
        <f>COUNTIF('Base de Dados'!$C$6:$C$45,B35)</f>
        <v>5</v>
      </c>
      <c r="D35" s="48">
        <f t="shared" si="0"/>
        <v>0.125</v>
      </c>
    </row>
    <row r="36" spans="2:4" x14ac:dyDescent="0.25">
      <c r="B36" s="42" t="s">
        <v>44</v>
      </c>
      <c r="C36" s="14">
        <f>COUNTIF('Base de Dados'!$C$6:$C$45,B36)</f>
        <v>2</v>
      </c>
      <c r="D36" s="48">
        <f t="shared" si="0"/>
        <v>0.05</v>
      </c>
    </row>
    <row r="37" spans="2:4" x14ac:dyDescent="0.25">
      <c r="B37" s="42" t="s">
        <v>18</v>
      </c>
      <c r="C37" s="14">
        <f>COUNTIF('Base de Dados'!$C$6:$C$45,B37)</f>
        <v>5</v>
      </c>
      <c r="D37" s="48">
        <f t="shared" si="0"/>
        <v>0.125</v>
      </c>
    </row>
    <row r="38" spans="2:4" x14ac:dyDescent="0.25">
      <c r="B38" s="42" t="s">
        <v>30</v>
      </c>
      <c r="C38" s="14">
        <f>COUNTIF('Base de Dados'!$C$6:$C$45,B38)</f>
        <v>3</v>
      </c>
      <c r="D38" s="48">
        <f t="shared" si="0"/>
        <v>7.4999999999999997E-2</v>
      </c>
    </row>
    <row r="39" spans="2:4" x14ac:dyDescent="0.25">
      <c r="B39" s="42" t="s">
        <v>24</v>
      </c>
      <c r="C39" s="14">
        <f>COUNTIF('Base de Dados'!$C$6:$C$45,B39)</f>
        <v>4</v>
      </c>
      <c r="D39" s="48">
        <f t="shared" si="0"/>
        <v>0.1</v>
      </c>
    </row>
    <row r="40" spans="2:4" x14ac:dyDescent="0.25">
      <c r="B40" s="42" t="s">
        <v>27</v>
      </c>
      <c r="C40" s="14">
        <f>COUNTIF('Base de Dados'!$C$6:$C$45,B40)</f>
        <v>4</v>
      </c>
      <c r="D40" s="48">
        <f t="shared" si="0"/>
        <v>0.1</v>
      </c>
    </row>
    <row r="41" spans="2:4" x14ac:dyDescent="0.25">
      <c r="B41" s="42" t="s">
        <v>42</v>
      </c>
      <c r="C41" s="14">
        <f>COUNTIF('Base de Dados'!$C$6:$C$45,B41)</f>
        <v>3</v>
      </c>
      <c r="D41" s="48">
        <f t="shared" si="0"/>
        <v>7.4999999999999997E-2</v>
      </c>
    </row>
    <row r="42" spans="2:4" x14ac:dyDescent="0.25">
      <c r="B42" s="49" t="s">
        <v>63</v>
      </c>
      <c r="C42" s="50">
        <f>SUM(C32:C41)</f>
        <v>40</v>
      </c>
      <c r="D42" s="51">
        <f>SUM(D32:D41)</f>
        <v>0.99999999999999989</v>
      </c>
    </row>
    <row r="48" spans="2:4" ht="17.25" x14ac:dyDescent="0.25">
      <c r="B48" s="40" t="s">
        <v>66</v>
      </c>
      <c r="C48" s="47"/>
      <c r="D48" s="41"/>
    </row>
    <row r="49" spans="2:4" x14ac:dyDescent="0.25">
      <c r="B49" s="28" t="s">
        <v>65</v>
      </c>
      <c r="C49" s="1" t="s">
        <v>54</v>
      </c>
      <c r="D49" s="29" t="s">
        <v>67</v>
      </c>
    </row>
    <row r="50" spans="2:4" x14ac:dyDescent="0.25">
      <c r="B50" s="42" t="s">
        <v>21</v>
      </c>
      <c r="C50" s="7">
        <f>AVERAGEIF('Base de Dados'!$C$6:$C$45,B50,'Base de Dados'!$F$6:$F$45)</f>
        <v>4.1133333333333333</v>
      </c>
      <c r="D50" s="44">
        <f t="shared" ref="D50:D59" si="1">$C$7</f>
        <v>8.0797500000000007</v>
      </c>
    </row>
    <row r="51" spans="2:4" x14ac:dyDescent="0.25">
      <c r="B51" s="42" t="s">
        <v>38</v>
      </c>
      <c r="C51" s="7">
        <f>AVERAGEIF('Base de Dados'!$C$6:$C$45,B51,'Base de Dados'!$F$6:$F$45)</f>
        <v>5.0649999999999995</v>
      </c>
      <c r="D51" s="44">
        <f t="shared" si="1"/>
        <v>8.0797500000000007</v>
      </c>
    </row>
    <row r="52" spans="2:4" x14ac:dyDescent="0.25">
      <c r="B52" s="42" t="s">
        <v>13</v>
      </c>
      <c r="C52" s="7">
        <f>AVERAGEIF('Base de Dados'!$C$6:$C$45,B52,'Base de Dados'!$F$6:$F$45)</f>
        <v>10.821428571428571</v>
      </c>
      <c r="D52" s="44">
        <f t="shared" si="1"/>
        <v>8.0797500000000007</v>
      </c>
    </row>
    <row r="53" spans="2:4" x14ac:dyDescent="0.25">
      <c r="B53" s="42" t="s">
        <v>35</v>
      </c>
      <c r="C53" s="7">
        <f>AVERAGEIF('Base de Dados'!$C$6:$C$45,B53,'Base de Dados'!$F$6:$F$45)</f>
        <v>9.8339999999999996</v>
      </c>
      <c r="D53" s="44">
        <f t="shared" si="1"/>
        <v>8.0797500000000007</v>
      </c>
    </row>
    <row r="54" spans="2:4" x14ac:dyDescent="0.25">
      <c r="B54" s="42" t="s">
        <v>44</v>
      </c>
      <c r="C54" s="7">
        <f>AVERAGEIF('Base de Dados'!$C$6:$C$45,B54,'Base de Dados'!$F$6:$F$45)</f>
        <v>2.585</v>
      </c>
      <c r="D54" s="44">
        <f t="shared" si="1"/>
        <v>8.0797500000000007</v>
      </c>
    </row>
    <row r="55" spans="2:4" x14ac:dyDescent="0.25">
      <c r="B55" s="42" t="s">
        <v>18</v>
      </c>
      <c r="C55" s="7">
        <f>AVERAGEIF('Base de Dados'!$C$6:$C$45,B55,'Base de Dados'!$F$6:$F$45)</f>
        <v>10.534000000000001</v>
      </c>
      <c r="D55" s="44">
        <f t="shared" si="1"/>
        <v>8.0797500000000007</v>
      </c>
    </row>
    <row r="56" spans="2:4" x14ac:dyDescent="0.25">
      <c r="B56" s="42" t="s">
        <v>30</v>
      </c>
      <c r="C56" s="7">
        <f>AVERAGEIF('Base de Dados'!$C$6:$C$45,B56,'Base de Dados'!$F$6:$F$45)</f>
        <v>6.746666666666667</v>
      </c>
      <c r="D56" s="44">
        <f t="shared" si="1"/>
        <v>8.0797500000000007</v>
      </c>
    </row>
    <row r="57" spans="2:4" x14ac:dyDescent="0.25">
      <c r="B57" s="42" t="s">
        <v>24</v>
      </c>
      <c r="C57" s="7">
        <f>AVERAGEIF('Base de Dados'!$C$6:$C$45,B57,'Base de Dados'!$F$6:$F$45)</f>
        <v>7.5</v>
      </c>
      <c r="D57" s="44">
        <f t="shared" si="1"/>
        <v>8.0797500000000007</v>
      </c>
    </row>
    <row r="58" spans="2:4" x14ac:dyDescent="0.25">
      <c r="B58" s="42" t="s">
        <v>27</v>
      </c>
      <c r="C58" s="7">
        <f>AVERAGEIF('Base de Dados'!$C$6:$C$45,B58,'Base de Dados'!$F$6:$F$45)</f>
        <v>10.6675</v>
      </c>
      <c r="D58" s="44">
        <f t="shared" si="1"/>
        <v>8.0797500000000007</v>
      </c>
    </row>
    <row r="59" spans="2:4" x14ac:dyDescent="0.25">
      <c r="B59" s="45" t="s">
        <v>42</v>
      </c>
      <c r="C59" s="52">
        <f>AVERAGEIF('Base de Dados'!$C$6:$C$45,B59,'Base de Dados'!$F$6:$F$45)</f>
        <v>4.9733333333333336</v>
      </c>
      <c r="D59" s="53">
        <f t="shared" si="1"/>
        <v>8.0797500000000007</v>
      </c>
    </row>
    <row r="66" spans="2:4" ht="17.25" x14ac:dyDescent="0.25">
      <c r="B66" s="40" t="s">
        <v>68</v>
      </c>
      <c r="C66" s="47"/>
      <c r="D66" s="41"/>
    </row>
    <row r="67" spans="2:4" x14ac:dyDescent="0.25">
      <c r="B67" s="28" t="s">
        <v>69</v>
      </c>
      <c r="C67" s="1" t="s">
        <v>70</v>
      </c>
      <c r="D67" s="29" t="s">
        <v>71</v>
      </c>
    </row>
    <row r="68" spans="2:4" x14ac:dyDescent="0.25">
      <c r="B68" s="42" t="s">
        <v>72</v>
      </c>
      <c r="C68" s="3">
        <f>DATE(2026,9,1)</f>
        <v>46266</v>
      </c>
      <c r="D68" s="43">
        <f>COUNTIFS('Base de Dados'!$B$6:$B$45,"&gt;="&amp;C68,'Base de Dados'!$B$6:$B$45,"&lt;"&amp;C68+7)</f>
        <v>10</v>
      </c>
    </row>
    <row r="69" spans="2:4" x14ac:dyDescent="0.25">
      <c r="B69" s="42" t="s">
        <v>73</v>
      </c>
      <c r="C69" s="3">
        <f>C68+7</f>
        <v>46273</v>
      </c>
      <c r="D69" s="43">
        <f>COUNTIFS('Base de Dados'!$B$6:$B$45,"&gt;="&amp;C69,'Base de Dados'!$B$6:$B$45,"&lt;"&amp;C69+7)</f>
        <v>8</v>
      </c>
    </row>
    <row r="70" spans="2:4" x14ac:dyDescent="0.25">
      <c r="B70" s="42" t="s">
        <v>74</v>
      </c>
      <c r="C70" s="3">
        <f>C69+7</f>
        <v>46280</v>
      </c>
      <c r="D70" s="43">
        <f>COUNTIFS('Base de Dados'!$B$6:$B$45,"&gt;="&amp;C70,'Base de Dados'!$B$6:$B$45,"&lt;"&amp;C70+7)</f>
        <v>9</v>
      </c>
    </row>
    <row r="71" spans="2:4" x14ac:dyDescent="0.25">
      <c r="B71" s="42" t="s">
        <v>75</v>
      </c>
      <c r="C71" s="3">
        <f>C70+7</f>
        <v>46287</v>
      </c>
      <c r="D71" s="43">
        <f>COUNTIFS('Base de Dados'!$B$6:$B$45,"&gt;="&amp;C71,'Base de Dados'!$B$6:$B$45,"&lt;"&amp;C71+7)</f>
        <v>10</v>
      </c>
    </row>
    <row r="72" spans="2:4" x14ac:dyDescent="0.25">
      <c r="B72" s="42" t="s">
        <v>76</v>
      </c>
      <c r="C72" s="3">
        <f>C71+7</f>
        <v>46294</v>
      </c>
      <c r="D72" s="43">
        <f>COUNTIFS('Base de Dados'!$B$6:$B$45,"&gt;="&amp;C72,'Base de Dados'!$B$6:$B$45,"&lt;"&amp;C72+7)</f>
        <v>3</v>
      </c>
    </row>
    <row r="73" spans="2:4" x14ac:dyDescent="0.25">
      <c r="B73" s="49" t="s">
        <v>63</v>
      </c>
      <c r="C73" s="54"/>
      <c r="D73" s="55">
        <f>SUM(D68:D72)</f>
        <v>40</v>
      </c>
    </row>
    <row r="84" spans="2:4" ht="17.25" x14ac:dyDescent="0.25">
      <c r="B84" s="40" t="s">
        <v>77</v>
      </c>
      <c r="C84" s="47"/>
      <c r="D84" s="41"/>
    </row>
    <row r="85" spans="2:4" x14ac:dyDescent="0.25">
      <c r="B85" s="28" t="s">
        <v>78</v>
      </c>
      <c r="C85" s="1" t="s">
        <v>61</v>
      </c>
      <c r="D85" s="29" t="s">
        <v>62</v>
      </c>
    </row>
    <row r="86" spans="2:4" x14ac:dyDescent="0.25">
      <c r="B86" s="42" t="s">
        <v>23</v>
      </c>
      <c r="C86" s="14">
        <f>COUNTIF('Base de Dados'!$K$6:$K$45,B86)</f>
        <v>7</v>
      </c>
      <c r="D86" s="48">
        <f>C86/$C$91</f>
        <v>0.17499999999999999</v>
      </c>
    </row>
    <row r="87" spans="2:4" x14ac:dyDescent="0.25">
      <c r="B87" s="42" t="s">
        <v>26</v>
      </c>
      <c r="C87" s="14">
        <f>COUNTIF('Base de Dados'!$K$6:$K$45,B87)</f>
        <v>6</v>
      </c>
      <c r="D87" s="48">
        <f>C87/$C$91</f>
        <v>0.15</v>
      </c>
    </row>
    <row r="88" spans="2:4" x14ac:dyDescent="0.25">
      <c r="B88" s="42" t="s">
        <v>33</v>
      </c>
      <c r="C88" s="14">
        <f>COUNTIF('Base de Dados'!$K$6:$K$45,B88)</f>
        <v>11</v>
      </c>
      <c r="D88" s="48">
        <f>C88/$C$91</f>
        <v>0.27500000000000002</v>
      </c>
    </row>
    <row r="89" spans="2:4" x14ac:dyDescent="0.25">
      <c r="B89" s="42" t="s">
        <v>20</v>
      </c>
      <c r="C89" s="14">
        <f>COUNTIF('Base de Dados'!$K$6:$K$45,B89)</f>
        <v>9</v>
      </c>
      <c r="D89" s="48">
        <f>C89/$C$91</f>
        <v>0.22500000000000001</v>
      </c>
    </row>
    <row r="90" spans="2:4" x14ac:dyDescent="0.25">
      <c r="B90" s="42" t="s">
        <v>17</v>
      </c>
      <c r="C90" s="14">
        <f>COUNTIF('Base de Dados'!$K$6:$K$45,B90)</f>
        <v>7</v>
      </c>
      <c r="D90" s="48">
        <f>C90/$C$91</f>
        <v>0.17499999999999999</v>
      </c>
    </row>
    <row r="91" spans="2:4" x14ac:dyDescent="0.25">
      <c r="B91" s="49" t="s">
        <v>63</v>
      </c>
      <c r="C91" s="50">
        <f>SUM(C86:C90)</f>
        <v>40</v>
      </c>
      <c r="D91" s="51">
        <f>SUM(D86:D90)</f>
        <v>1</v>
      </c>
    </row>
    <row r="100" spans="2:8" ht="17.25" x14ac:dyDescent="0.25">
      <c r="B100" s="57" t="s">
        <v>79</v>
      </c>
      <c r="C100" s="58"/>
      <c r="D100" s="58"/>
      <c r="E100" s="59"/>
    </row>
    <row r="101" spans="2:8" x14ac:dyDescent="0.25">
      <c r="B101" s="56" t="str">
        <f>"A rua com mais registros foi "&amp;INDEX(B32:B41,MATCH(MAX(C32:C41),C32:C41,0))&amp;" ("&amp;MAX(C32:C41)&amp;" registros)."</f>
        <v>A rua com mais registros foi Rua Santa Júlia (7 registros).</v>
      </c>
      <c r="C101" s="56"/>
      <c r="D101" s="56"/>
      <c r="E101" s="56"/>
    </row>
    <row r="102" spans="2:8" x14ac:dyDescent="0.25">
      <c r="B102" s="56" t="str">
        <f>"A maior duração média foi na "&amp;INDEX(B50:B59,MATCH(MAX(C50:C59),C50:C59,0))&amp;", com "&amp;ROUND(MAX(C50:C59),1)&amp;" horas."</f>
        <v>A maior duração média foi na Rua Santa Júlia, com 10,8 horas.</v>
      </c>
      <c r="C102" s="56"/>
      <c r="D102" s="56"/>
      <c r="E102" s="56"/>
    </row>
    <row r="103" spans="2:8" x14ac:dyDescent="0.25">
      <c r="B103" s="56" t="str">
        <f>"A semana com mais ocorrências foi a "&amp;INDEX(B68:B72,MATCH(MAX(D68:D72),D68:D72,0))&amp;" ("&amp;MAX(D68:D72)&amp;" ocorrências)."</f>
        <v>A semana com mais ocorrências foi a Semana 1 (10 ocorrências).</v>
      </c>
      <c r="C103" s="56"/>
      <c r="D103" s="56"/>
      <c r="E103" s="56"/>
    </row>
    <row r="104" spans="2:8" x14ac:dyDescent="0.25">
      <c r="B104" s="56" t="str">
        <f>"A categoria mais citada foi "&amp;INDEX(B86:B90,MATCH(MAX(C86:C90),C86:C90,0))&amp;" ("&amp;MAX(C86:C90)&amp;" registros)."</f>
        <v>A categoria mais citada foi Atividades domésticas (11 registros).</v>
      </c>
      <c r="C104" s="56"/>
      <c r="D104" s="56"/>
      <c r="E104" s="56"/>
    </row>
    <row r="105" spans="2:8" x14ac:dyDescent="0.25">
      <c r="B105" s="56" t="str">
        <f>"Registros de impacto Alto: "&amp;C10&amp;" de "&amp;C6&amp;" ("&amp;ROUND(C10/C6*100,1)&amp;"%)."</f>
        <v>Registros de impacto Alto: 12 de 40 (30%).</v>
      </c>
      <c r="C105" s="56"/>
      <c r="D105" s="56"/>
      <c r="E105" s="56"/>
    </row>
    <row r="107" spans="2:8" x14ac:dyDescent="0.25">
      <c r="B107" s="60" t="s">
        <v>80</v>
      </c>
      <c r="C107" s="60"/>
      <c r="D107" s="60"/>
      <c r="E107" s="60"/>
      <c r="F107" s="60"/>
      <c r="G107" s="60"/>
      <c r="H107" s="60"/>
    </row>
  </sheetData>
  <mergeCells count="15">
    <mergeCell ref="B107:H107"/>
    <mergeCell ref="B1:N1"/>
    <mergeCell ref="B2:N2"/>
    <mergeCell ref="B101:E101"/>
    <mergeCell ref="B102:E102"/>
    <mergeCell ref="B103:E103"/>
    <mergeCell ref="B104:E104"/>
    <mergeCell ref="B105:E105"/>
    <mergeCell ref="B100:E100"/>
    <mergeCell ref="B4:C4"/>
    <mergeCell ref="B14:D14"/>
    <mergeCell ref="B30:D30"/>
    <mergeCell ref="B48:D48"/>
    <mergeCell ref="B66:D66"/>
    <mergeCell ref="B84:D84"/>
  </mergeCells>
  <pageMargins left="0.75" right="0.75" top="1" bottom="1" header="0.511811023622047" footer="0.511811023622047"/>
  <pageSetup fitToHeight="0" orientation="portrait" horizontalDpi="300" verticalDpi="300" r:id="rId1"/>
  <rowBreaks count="2" manualBreakCount="2">
    <brk id="65" max="16383" man="1"/>
    <brk id="8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tabSelected="1" zoomScaleNormal="100" workbookViewId="0">
      <selection sqref="A1:B1"/>
    </sheetView>
  </sheetViews>
  <sheetFormatPr defaultColWidth="8.7109375" defaultRowHeight="15" x14ac:dyDescent="0.25"/>
  <cols>
    <col min="1" max="1" width="22" customWidth="1"/>
    <col min="2" max="2" width="100" customWidth="1"/>
  </cols>
  <sheetData>
    <row r="1" spans="1:2" ht="39.950000000000003" customHeight="1" x14ac:dyDescent="0.25">
      <c r="A1" s="20" t="s">
        <v>81</v>
      </c>
      <c r="B1" s="20"/>
    </row>
    <row r="2" spans="1:2" ht="5.0999999999999996" customHeight="1" x14ac:dyDescent="0.25">
      <c r="A2" s="19"/>
      <c r="B2" s="19"/>
    </row>
    <row r="3" spans="1:2" ht="33.950000000000003" customHeight="1" x14ac:dyDescent="0.25">
      <c r="A3" s="16" t="s">
        <v>82</v>
      </c>
      <c r="B3" s="17" t="s">
        <v>83</v>
      </c>
    </row>
    <row r="4" spans="1:2" ht="33.950000000000003" customHeight="1" x14ac:dyDescent="0.25">
      <c r="A4" s="16" t="s">
        <v>84</v>
      </c>
      <c r="B4" s="18" t="s">
        <v>85</v>
      </c>
    </row>
    <row r="5" spans="1:2" ht="33.950000000000003" customHeight="1" x14ac:dyDescent="0.25">
      <c r="A5" s="16" t="s">
        <v>86</v>
      </c>
      <c r="B5" s="17" t="s">
        <v>87</v>
      </c>
    </row>
    <row r="6" spans="1:2" ht="33.950000000000003" customHeight="1" x14ac:dyDescent="0.25">
      <c r="A6" s="16" t="s">
        <v>88</v>
      </c>
      <c r="B6" s="18" t="s">
        <v>89</v>
      </c>
    </row>
    <row r="7" spans="1:2" ht="33.950000000000003" customHeight="1" x14ac:dyDescent="0.25">
      <c r="A7" s="16" t="s">
        <v>90</v>
      </c>
      <c r="B7" s="17" t="s">
        <v>91</v>
      </c>
    </row>
    <row r="8" spans="1:2" ht="33.950000000000003" customHeight="1" x14ac:dyDescent="0.25">
      <c r="A8" s="16" t="s">
        <v>92</v>
      </c>
      <c r="B8" s="18" t="s">
        <v>93</v>
      </c>
    </row>
    <row r="9" spans="1:2" ht="33.950000000000003" customHeight="1" x14ac:dyDescent="0.25">
      <c r="A9" s="16" t="s">
        <v>60</v>
      </c>
      <c r="B9" s="17" t="s">
        <v>94</v>
      </c>
    </row>
    <row r="10" spans="1:2" ht="33.950000000000003" customHeight="1" x14ac:dyDescent="0.25">
      <c r="A10" s="16" t="s">
        <v>95</v>
      </c>
      <c r="B10" s="18" t="s">
        <v>96</v>
      </c>
    </row>
    <row r="11" spans="1:2" ht="33.950000000000003" customHeight="1" x14ac:dyDescent="0.25">
      <c r="A11" s="16" t="s">
        <v>97</v>
      </c>
      <c r="B11" s="17" t="s">
        <v>98</v>
      </c>
    </row>
    <row r="12" spans="1:2" ht="33.950000000000003" customHeight="1" x14ac:dyDescent="0.25">
      <c r="A12" s="16" t="s">
        <v>99</v>
      </c>
      <c r="B12" s="18" t="s">
        <v>100</v>
      </c>
    </row>
    <row r="13" spans="1:2" ht="33.950000000000003" customHeight="1" x14ac:dyDescent="0.25">
      <c r="A13" s="16" t="s">
        <v>101</v>
      </c>
      <c r="B13" s="17" t="s">
        <v>102</v>
      </c>
    </row>
    <row r="14" spans="1:2" ht="33.950000000000003" customHeight="1" x14ac:dyDescent="0.25">
      <c r="A14" s="16" t="s">
        <v>103</v>
      </c>
      <c r="B14" s="18" t="s">
        <v>104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Resumo da Análise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i5</dc:creator>
  <dc:description/>
  <cp:lastModifiedBy>i5</cp:lastModifiedBy>
  <cp:revision>1</cp:revision>
  <dcterms:created xsi:type="dcterms:W3CDTF">2026-10-22T15:30:27Z</dcterms:created>
  <dcterms:modified xsi:type="dcterms:W3CDTF">2026-10-23T19:00:37Z</dcterms:modified>
  <dc:language>en-US</dc:language>
</cp:coreProperties>
</file>